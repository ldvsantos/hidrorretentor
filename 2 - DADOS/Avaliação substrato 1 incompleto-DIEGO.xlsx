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28c329cf2f6e6d0/Documentos/1 - ACADEMICO/1- UFS/2 - POS/2 - POS DOC/10 - PROJETOS ORIENTANDOS/1 - GOURD-FLOWER (PIBIC)/2 - DADOS/"/>
    </mc:Choice>
  </mc:AlternateContent>
  <xr:revisionPtr revIDLastSave="327" documentId="13_ncr:1_{B4D8D453-2EB8-429E-8662-55A288F414A3}" xr6:coauthVersionLast="47" xr6:coauthVersionMax="47" xr10:uidLastSave="{FA96DCB8-1AC9-4946-931F-2974FD0FAA72}"/>
  <bookViews>
    <workbookView xWindow="11424" yWindow="0" windowWidth="11712" windowHeight="12336" tabRatio="768" xr2:uid="{00000000-000D-0000-FFFF-FFFF00000000}"/>
  </bookViews>
  <sheets>
    <sheet name="DADOS BANDEJAS " sheetId="15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2" i="15" l="1"/>
  <c r="W28" i="15"/>
  <c r="W14" i="15"/>
  <c r="V42" i="15"/>
  <c r="V28" i="15"/>
  <c r="V14" i="15"/>
  <c r="V33" i="15"/>
  <c r="V34" i="15"/>
  <c r="V35" i="15"/>
  <c r="V36" i="15"/>
  <c r="V37" i="15"/>
  <c r="V38" i="15"/>
  <c r="V39" i="15"/>
  <c r="V40" i="15"/>
  <c r="V41" i="15"/>
  <c r="V32" i="15"/>
  <c r="V19" i="15"/>
  <c r="V20" i="15"/>
  <c r="V21" i="15"/>
  <c r="V22" i="15"/>
  <c r="V23" i="15"/>
  <c r="V24" i="15"/>
  <c r="V25" i="15"/>
  <c r="V26" i="15"/>
  <c r="V27" i="15"/>
  <c r="V18" i="15"/>
  <c r="V5" i="15"/>
  <c r="V6" i="15"/>
  <c r="V7" i="15"/>
  <c r="V8" i="15"/>
  <c r="V9" i="15"/>
  <c r="V10" i="15"/>
  <c r="V11" i="15"/>
  <c r="V12" i="15"/>
  <c r="V13" i="15"/>
  <c r="V4" i="15"/>
  <c r="X47" i="15"/>
  <c r="X48" i="15"/>
  <c r="X49" i="15"/>
  <c r="X50" i="15"/>
  <c r="X51" i="15"/>
  <c r="X52" i="15"/>
  <c r="X53" i="15"/>
  <c r="X54" i="15"/>
  <c r="X55" i="15"/>
  <c r="X46" i="15"/>
  <c r="X35" i="15"/>
  <c r="P56" i="15"/>
  <c r="Q56" i="15"/>
  <c r="W33" i="15" s="1"/>
  <c r="R56" i="15"/>
  <c r="S56" i="15"/>
  <c r="T56" i="15"/>
  <c r="U56" i="15"/>
  <c r="X37" i="15"/>
  <c r="X38" i="15"/>
  <c r="X39" i="15"/>
  <c r="X40" i="15"/>
  <c r="X41" i="15"/>
  <c r="X23" i="15"/>
  <c r="X24" i="15"/>
  <c r="X25" i="15"/>
  <c r="X26" i="15"/>
  <c r="X27" i="15"/>
  <c r="X33" i="15"/>
  <c r="X34" i="15"/>
  <c r="X36" i="15"/>
  <c r="X32" i="15"/>
  <c r="X19" i="15"/>
  <c r="X20" i="15"/>
  <c r="X21" i="15"/>
  <c r="X22" i="15"/>
  <c r="X18" i="15"/>
  <c r="X5" i="15"/>
  <c r="X6" i="15"/>
  <c r="X7" i="15"/>
  <c r="X8" i="15"/>
  <c r="X9" i="15"/>
  <c r="X10" i="15"/>
  <c r="X11" i="15"/>
  <c r="X12" i="15"/>
  <c r="X13" i="15"/>
  <c r="X4" i="15"/>
  <c r="P14" i="15"/>
  <c r="Q14" i="15"/>
  <c r="P28" i="15"/>
  <c r="Q28" i="15"/>
  <c r="Q42" i="15"/>
  <c r="P42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N42" i="15"/>
  <c r="M42" i="15"/>
  <c r="H42" i="15"/>
  <c r="G42" i="15"/>
  <c r="N28" i="15"/>
  <c r="M28" i="15"/>
  <c r="H28" i="15"/>
  <c r="G28" i="15"/>
  <c r="H14" i="15"/>
  <c r="G14" i="15"/>
  <c r="N14" i="15"/>
  <c r="M14" i="15"/>
  <c r="O14" i="15"/>
  <c r="T42" i="15"/>
  <c r="T28" i="15"/>
  <c r="T14" i="15"/>
  <c r="S42" i="15"/>
  <c r="S28" i="15"/>
  <c r="S14" i="15"/>
  <c r="U42" i="15"/>
  <c r="R42" i="15"/>
  <c r="O42" i="15"/>
  <c r="L42" i="15"/>
  <c r="K42" i="15"/>
  <c r="J42" i="15"/>
  <c r="I42" i="15"/>
  <c r="F42" i="15"/>
  <c r="E42" i="15"/>
  <c r="D42" i="15"/>
  <c r="C42" i="15"/>
  <c r="U28" i="15"/>
  <c r="R28" i="15"/>
  <c r="O28" i="15"/>
  <c r="L28" i="15"/>
  <c r="K28" i="15"/>
  <c r="J28" i="15"/>
  <c r="I28" i="15"/>
  <c r="F28" i="15"/>
  <c r="E28" i="15"/>
  <c r="D28" i="15"/>
  <c r="C28" i="15"/>
  <c r="U14" i="15"/>
  <c r="R14" i="15"/>
  <c r="L14" i="15"/>
  <c r="K14" i="15"/>
  <c r="J14" i="15"/>
  <c r="I14" i="15"/>
  <c r="F14" i="15"/>
  <c r="E14" i="15"/>
  <c r="D14" i="15"/>
  <c r="C14" i="15"/>
  <c r="W8" i="15" l="1"/>
  <c r="W24" i="15"/>
  <c r="W40" i="15"/>
  <c r="W7" i="15"/>
  <c r="W23" i="15"/>
  <c r="W39" i="15"/>
  <c r="W4" i="15"/>
  <c r="W6" i="15"/>
  <c r="W22" i="15"/>
  <c r="W38" i="15"/>
  <c r="W13" i="15"/>
  <c r="W5" i="15"/>
  <c r="W21" i="15"/>
  <c r="W37" i="15"/>
  <c r="W12" i="15"/>
  <c r="W18" i="15"/>
  <c r="W20" i="15"/>
  <c r="W36" i="15"/>
  <c r="W11" i="15"/>
  <c r="W27" i="15"/>
  <c r="W19" i="15"/>
  <c r="W35" i="15"/>
  <c r="W10" i="15"/>
  <c r="W26" i="15"/>
  <c r="W32" i="15"/>
  <c r="W34" i="15"/>
  <c r="W9" i="15"/>
  <c r="W25" i="15"/>
  <c r="W41" i="15"/>
  <c r="X56" i="15"/>
  <c r="Y35" i="15" s="1"/>
  <c r="X42" i="15"/>
  <c r="X28" i="15"/>
  <c r="X14" i="15"/>
  <c r="Y37" i="15" l="1"/>
  <c r="Y41" i="15"/>
  <c r="Y38" i="15"/>
  <c r="Y39" i="15"/>
  <c r="Y40" i="15"/>
  <c r="Y36" i="15"/>
  <c r="Y27" i="15"/>
  <c r="Y23" i="15"/>
  <c r="Y24" i="15"/>
  <c r="Y25" i="15"/>
  <c r="Y26" i="15"/>
  <c r="Y32" i="15"/>
  <c r="Y18" i="15"/>
  <c r="Y9" i="15"/>
  <c r="Y8" i="15"/>
  <c r="Y34" i="15"/>
  <c r="Y4" i="15"/>
  <c r="Y22" i="15"/>
  <c r="Y20" i="15"/>
  <c r="Y5" i="15"/>
  <c r="Y19" i="15"/>
  <c r="Y7" i="15"/>
  <c r="Y21" i="15"/>
  <c r="Y6" i="15"/>
  <c r="Y12" i="15"/>
  <c r="Y13" i="15"/>
  <c r="Y10" i="15"/>
  <c r="Y33" i="15"/>
  <c r="Y11" i="15"/>
  <c r="Y42" i="15" l="1"/>
  <c r="Y14" i="15"/>
  <c r="Y28" i="15"/>
</calcChain>
</file>

<file path=xl/sharedStrings.xml><?xml version="1.0" encoding="utf-8"?>
<sst xmlns="http://schemas.openxmlformats.org/spreadsheetml/2006/main" count="156" uniqueCount="46">
  <si>
    <t>Trat.</t>
  </si>
  <si>
    <t>Repetição</t>
  </si>
  <si>
    <t>Germinação (dias)</t>
  </si>
  <si>
    <t>altura</t>
  </si>
  <si>
    <t>n. de folhas</t>
  </si>
  <si>
    <t>Comprimento radicular</t>
  </si>
  <si>
    <t>Peso seco radicular</t>
  </si>
  <si>
    <t>Peso seco da parte aérea</t>
  </si>
  <si>
    <t>1a avaliação</t>
  </si>
  <si>
    <t>2a avaliação</t>
  </si>
  <si>
    <t>3a avaliação</t>
  </si>
  <si>
    <t>4a avaliação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</si>
  <si>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</si>
  <si>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</si>
  <si>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</si>
  <si>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</si>
  <si>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</si>
  <si>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</si>
  <si>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</si>
  <si>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</si>
  <si>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</si>
  <si>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</si>
  <si>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Média</t>
  </si>
  <si>
    <t>Dependência do substrato</t>
  </si>
  <si>
    <t>PURA</t>
  </si>
  <si>
    <t>SEM SOLVENTE</t>
  </si>
  <si>
    <t>SOLV+RESI</t>
  </si>
  <si>
    <t>Peso úmido radicular</t>
  </si>
  <si>
    <t>Peso úmido da parte aérea</t>
  </si>
  <si>
    <t>5a avaliação</t>
  </si>
  <si>
    <t>6a avaliação</t>
  </si>
  <si>
    <t>6a avalição</t>
  </si>
  <si>
    <t>5a avalição</t>
  </si>
  <si>
    <t>Massa seca total</t>
  </si>
  <si>
    <t>CONTROLE</t>
  </si>
  <si>
    <t>Comprimento parte aérea</t>
  </si>
  <si>
    <t>Comprimento parte aérea (mm)</t>
  </si>
  <si>
    <t>Comprimento radicular (mm)</t>
  </si>
  <si>
    <t>Peso úmido radicular (g)</t>
  </si>
  <si>
    <t>Peso seco radicular (g)</t>
  </si>
  <si>
    <t>Peso úmido da parte aérea  (g)</t>
  </si>
  <si>
    <t>Peso seco da parte aérea  (g)</t>
  </si>
  <si>
    <t>Massa seca total  (g)</t>
  </si>
  <si>
    <t>IVP</t>
  </si>
  <si>
    <t>Comprimento relativo raiz</t>
  </si>
  <si>
    <t>Comprimento relativo parte aérea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</si>
</sst>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64" fontId="0" fillId="0" borderId="1" xfId="0" applyNumberFormat="1" applyBorder="1"/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/>
    <xf numFmtId="165" fontId="0" fillId="0" borderId="1" xfId="0" applyNumberFormat="1" applyBorder="1" applyAlignment="1">
      <alignment vertical="center" wrapText="1"/>
    </xf>
    <xf numFmtId="10" fontId="0" fillId="0" borderId="1" xfId="1" applyNumberFormat="1" applyFont="1" applyBorder="1"/>
    <xf numFmtId="10" fontId="0" fillId="0" borderId="0" xfId="0" applyNumberFormat="1"/>
    <xf numFmtId="10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" xfId="0" applyBorder="1" applyAlignment="1">
      <alignment horizontal="center" vertical="center" textRotation="255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8" xfId="0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6"/>
  <sheetViews>
    <sheetView showGridLines="0" tabSelected="1" topLeftCell="P1" zoomScale="55" zoomScaleNormal="55" workbookViewId="0">
      <selection activeCell="W32" sqref="W32"/>
    </sheetView>
  </sheetViews>
  <sheetFormatPr defaultColWidth="9.109375" defaultRowHeight="14.4" x14ac:dyDescent="0.3"/>
  <cols>
    <col min="2" max="2" width="11.33203125" customWidth="1"/>
    <col min="3" max="3" width="14.77734375" customWidth="1"/>
    <col min="4" max="4" width="15.77734375" style="3" customWidth="1"/>
    <col min="5" max="5" width="15.21875" style="3" customWidth="1"/>
    <col min="6" max="8" width="15.44140625" style="3" customWidth="1"/>
    <col min="9" max="9" width="14.5546875" style="3" customWidth="1"/>
    <col min="10" max="10" width="17.109375" customWidth="1"/>
    <col min="11" max="11" width="16.21875" customWidth="1"/>
    <col min="12" max="14" width="15.21875" customWidth="1"/>
    <col min="15" max="16" width="16.44140625" customWidth="1"/>
    <col min="17" max="17" width="15.77734375" customWidth="1"/>
    <col min="18" max="19" width="18.44140625" customWidth="1"/>
    <col min="20" max="23" width="13.44140625" customWidth="1"/>
    <col min="25" max="25" width="17.88671875" customWidth="1"/>
  </cols>
  <sheetData>
    <row r="1" spans="1:30" ht="39" customHeight="1" x14ac:dyDescent="0.3"/>
    <row r="2" spans="1:30" ht="14.4" customHeight="1" x14ac:dyDescent="0.3">
      <c r="A2" s="16" t="s">
        <v>0</v>
      </c>
      <c r="B2" s="16" t="s">
        <v>1</v>
      </c>
      <c r="C2" s="19" t="s">
        <v>2</v>
      </c>
      <c r="D2" s="20" t="s">
        <v>3</v>
      </c>
      <c r="E2" s="20"/>
      <c r="F2" s="20"/>
      <c r="G2" s="20"/>
      <c r="H2" s="20"/>
      <c r="I2" s="20"/>
      <c r="J2" s="20" t="s">
        <v>4</v>
      </c>
      <c r="K2" s="20"/>
      <c r="L2" s="20"/>
      <c r="M2" s="20"/>
      <c r="N2" s="20"/>
      <c r="O2" s="20"/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41</v>
      </c>
      <c r="V2" s="13" t="s">
        <v>45</v>
      </c>
      <c r="W2" s="13" t="s">
        <v>44</v>
      </c>
      <c r="X2" s="16" t="s">
        <v>42</v>
      </c>
      <c r="Y2" s="16" t="s">
        <v>23</v>
      </c>
      <c r="Z2" s="26" t="s">
        <v>43</v>
      </c>
    </row>
    <row r="3" spans="1:30" ht="14.4" customHeight="1" x14ac:dyDescent="0.3">
      <c r="A3" s="16"/>
      <c r="B3" s="16"/>
      <c r="C3" s="19"/>
      <c r="D3" s="1" t="s">
        <v>8</v>
      </c>
      <c r="E3" s="1" t="s">
        <v>9</v>
      </c>
      <c r="F3" s="1" t="s">
        <v>10</v>
      </c>
      <c r="G3" s="1" t="s">
        <v>11</v>
      </c>
      <c r="H3" s="1" t="s">
        <v>29</v>
      </c>
      <c r="I3" s="1" t="s">
        <v>30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29</v>
      </c>
      <c r="O3" s="1" t="s">
        <v>30</v>
      </c>
      <c r="P3" s="19"/>
      <c r="Q3" s="19"/>
      <c r="R3" s="19"/>
      <c r="S3" s="19"/>
      <c r="T3" s="19"/>
      <c r="U3" s="19"/>
      <c r="V3" s="14"/>
      <c r="W3" s="14"/>
      <c r="X3" s="16"/>
      <c r="Y3" s="16"/>
      <c r="Z3" s="26"/>
    </row>
    <row r="4" spans="1:30" x14ac:dyDescent="0.3">
      <c r="A4" s="15" t="s">
        <v>24</v>
      </c>
      <c r="B4" s="2" t="s">
        <v>12</v>
      </c>
      <c r="C4" s="2">
        <v>6</v>
      </c>
      <c r="D4" s="1"/>
      <c r="E4" s="1"/>
      <c r="F4" s="1"/>
      <c r="G4" s="1"/>
      <c r="H4" s="1"/>
      <c r="I4" s="1"/>
      <c r="J4" s="1">
        <v>1</v>
      </c>
      <c r="K4" s="1">
        <v>2</v>
      </c>
      <c r="L4" s="1">
        <v>2</v>
      </c>
      <c r="M4" s="1">
        <v>2</v>
      </c>
      <c r="N4" s="1">
        <v>2</v>
      </c>
      <c r="O4" s="1">
        <v>3</v>
      </c>
      <c r="P4" s="2">
        <v>67.290999999999997</v>
      </c>
      <c r="Q4" s="8">
        <v>10.9</v>
      </c>
      <c r="R4" s="2">
        <v>8.3199999999999996E-2</v>
      </c>
      <c r="S4" s="2">
        <v>1.8200000000000001E-2</v>
      </c>
      <c r="T4" s="2">
        <v>0.69520000000000004</v>
      </c>
      <c r="U4" s="2">
        <v>0.14829999999999999</v>
      </c>
      <c r="V4" s="10">
        <f>(P4/$P$56)/100</f>
        <v>8.9662275781018895E-3</v>
      </c>
      <c r="W4" s="10">
        <f>(Q4/$Q$56)/100</f>
        <v>1.6288348600546928E-3</v>
      </c>
      <c r="X4" s="2">
        <f>SUM(S4+U4)</f>
        <v>0.16649999999999998</v>
      </c>
      <c r="Y4" s="2">
        <f t="shared" ref="Y4:Y13" si="0">(((S4+U4)-$X$56)/(S4+U4))*100</f>
        <v>-25.765765765765764</v>
      </c>
    </row>
    <row r="5" spans="1:30" x14ac:dyDescent="0.3">
      <c r="A5" s="15"/>
      <c r="B5" s="2" t="s">
        <v>13</v>
      </c>
      <c r="C5" s="2">
        <v>6</v>
      </c>
      <c r="D5" s="1"/>
      <c r="E5" s="1"/>
      <c r="F5" s="1"/>
      <c r="G5" s="1"/>
      <c r="H5" s="1"/>
      <c r="I5" s="1"/>
      <c r="J5" s="1">
        <v>2</v>
      </c>
      <c r="K5" s="1">
        <v>3</v>
      </c>
      <c r="L5" s="1">
        <v>3</v>
      </c>
      <c r="M5" s="1">
        <v>3</v>
      </c>
      <c r="N5" s="1">
        <v>4</v>
      </c>
      <c r="O5" s="1">
        <v>4</v>
      </c>
      <c r="P5" s="2">
        <v>98.491</v>
      </c>
      <c r="Q5" s="8">
        <v>92.168999999999997</v>
      </c>
      <c r="R5" s="2">
        <v>0.1101</v>
      </c>
      <c r="S5" s="2">
        <v>2.81E-2</v>
      </c>
      <c r="T5" s="2">
        <v>1.5061</v>
      </c>
      <c r="U5" s="2">
        <v>0.32150000000000001</v>
      </c>
      <c r="V5" s="10">
        <f t="shared" ref="V5:V13" si="1">(P5/$P$56)/100</f>
        <v>1.3123489328362383E-2</v>
      </c>
      <c r="W5" s="10">
        <f t="shared" ref="W5:W13" si="2">(Q5/$Q$56)/100</f>
        <v>1.3773218368475316E-2</v>
      </c>
      <c r="X5" s="2">
        <f t="shared" ref="X5:X13" si="3">SUM(S5+U5)</f>
        <v>0.34960000000000002</v>
      </c>
      <c r="Y5" s="2">
        <f t="shared" si="0"/>
        <v>40.102974828375295</v>
      </c>
    </row>
    <row r="6" spans="1:30" x14ac:dyDescent="0.3">
      <c r="A6" s="15"/>
      <c r="B6" s="2" t="s">
        <v>14</v>
      </c>
      <c r="C6" s="2">
        <v>6</v>
      </c>
      <c r="D6" s="1"/>
      <c r="E6" s="1"/>
      <c r="F6" s="1"/>
      <c r="G6" s="1"/>
      <c r="H6" s="1"/>
      <c r="I6" s="1"/>
      <c r="J6" s="1">
        <v>2</v>
      </c>
      <c r="K6" s="1">
        <v>3</v>
      </c>
      <c r="L6" s="1">
        <v>3</v>
      </c>
      <c r="M6" s="1">
        <v>4</v>
      </c>
      <c r="N6" s="1">
        <v>4</v>
      </c>
      <c r="O6" s="1">
        <v>4</v>
      </c>
      <c r="P6" s="2">
        <v>90.753</v>
      </c>
      <c r="Q6" s="8">
        <v>77.790000000000006</v>
      </c>
      <c r="R6" s="2">
        <v>0.30609999999999998</v>
      </c>
      <c r="S6" s="2">
        <v>4.2799999999999998E-2</v>
      </c>
      <c r="T6" s="2">
        <v>1.6435</v>
      </c>
      <c r="U6" s="2">
        <v>0.39450000000000002</v>
      </c>
      <c r="V6" s="10">
        <f t="shared" si="1"/>
        <v>1.2092435116070215E-2</v>
      </c>
      <c r="W6" s="10">
        <f t="shared" si="2"/>
        <v>1.1624501262720601E-2</v>
      </c>
      <c r="X6" s="2">
        <f t="shared" si="3"/>
        <v>0.43730000000000002</v>
      </c>
      <c r="Y6" s="2">
        <f t="shared" si="0"/>
        <v>52.115252686942611</v>
      </c>
    </row>
    <row r="7" spans="1:30" x14ac:dyDescent="0.3">
      <c r="A7" s="15"/>
      <c r="B7" s="2" t="s">
        <v>15</v>
      </c>
      <c r="C7" s="2">
        <v>6</v>
      </c>
      <c r="D7" s="1"/>
      <c r="E7" s="1"/>
      <c r="F7" s="1"/>
      <c r="G7" s="1"/>
      <c r="H7" s="1"/>
      <c r="I7" s="1"/>
      <c r="J7" s="1">
        <v>1</v>
      </c>
      <c r="K7" s="1">
        <v>2</v>
      </c>
      <c r="L7" s="1">
        <v>3</v>
      </c>
      <c r="M7" s="1">
        <v>3</v>
      </c>
      <c r="N7" s="1">
        <v>3</v>
      </c>
      <c r="O7" s="1">
        <v>3</v>
      </c>
      <c r="P7" s="2">
        <v>78.090999999999994</v>
      </c>
      <c r="Q7" s="8">
        <v>83.591999999999999</v>
      </c>
      <c r="R7" s="2">
        <v>0.31909999999999999</v>
      </c>
      <c r="S7" s="2">
        <v>4.24E-2</v>
      </c>
      <c r="T7" s="2">
        <v>1.0387</v>
      </c>
      <c r="U7" s="2">
        <v>0.1762</v>
      </c>
      <c r="V7" s="10">
        <f t="shared" si="1"/>
        <v>1.0405279722422828E-2</v>
      </c>
      <c r="W7" s="10">
        <f t="shared" si="2"/>
        <v>1.2491519598320355E-2</v>
      </c>
      <c r="X7" s="2">
        <f t="shared" si="3"/>
        <v>0.21859999999999999</v>
      </c>
      <c r="Y7" s="2">
        <f t="shared" si="0"/>
        <v>4.2086001829826234</v>
      </c>
    </row>
    <row r="8" spans="1:30" x14ac:dyDescent="0.3">
      <c r="A8" s="15"/>
      <c r="B8" s="2" t="s">
        <v>16</v>
      </c>
      <c r="C8" s="2">
        <v>6</v>
      </c>
      <c r="D8" s="1"/>
      <c r="E8" s="1"/>
      <c r="F8" s="1"/>
      <c r="G8" s="1"/>
      <c r="H8" s="1"/>
      <c r="I8" s="1"/>
      <c r="J8" s="1">
        <v>3</v>
      </c>
      <c r="K8" s="1">
        <v>4</v>
      </c>
      <c r="L8" s="1">
        <v>4</v>
      </c>
      <c r="M8" s="1">
        <v>4</v>
      </c>
      <c r="N8" s="1">
        <v>4</v>
      </c>
      <c r="O8" s="1">
        <v>4</v>
      </c>
      <c r="P8" s="2">
        <v>64.132000000000005</v>
      </c>
      <c r="Q8" s="8">
        <v>98.813999999999993</v>
      </c>
      <c r="R8" s="2">
        <v>0.75639999999999996</v>
      </c>
      <c r="S8" s="2">
        <v>7.7100000000000002E-2</v>
      </c>
      <c r="T8" s="2">
        <v>1.0981000000000001</v>
      </c>
      <c r="U8" s="2">
        <v>0.22109999999999999</v>
      </c>
      <c r="V8" s="10">
        <f t="shared" si="1"/>
        <v>8.5453048258880143E-3</v>
      </c>
      <c r="W8" s="10">
        <f t="shared" si="2"/>
        <v>1.4766209895545357E-2</v>
      </c>
      <c r="X8" s="2">
        <f t="shared" si="3"/>
        <v>0.29820000000000002</v>
      </c>
      <c r="Y8" s="2">
        <f t="shared" si="0"/>
        <v>29.778672032193171</v>
      </c>
    </row>
    <row r="9" spans="1:30" x14ac:dyDescent="0.3">
      <c r="A9" s="15"/>
      <c r="B9" s="2" t="s">
        <v>17</v>
      </c>
      <c r="C9" s="2">
        <v>6</v>
      </c>
      <c r="D9" s="1"/>
      <c r="E9" s="1"/>
      <c r="F9" s="1"/>
      <c r="G9" s="1"/>
      <c r="H9" s="1"/>
      <c r="I9" s="1"/>
      <c r="J9" s="1">
        <v>3</v>
      </c>
      <c r="K9" s="1">
        <v>3</v>
      </c>
      <c r="L9" s="1">
        <v>4</v>
      </c>
      <c r="M9" s="1">
        <v>4</v>
      </c>
      <c r="N9" s="1">
        <v>4</v>
      </c>
      <c r="O9" s="1">
        <v>5</v>
      </c>
      <c r="P9" s="1"/>
      <c r="Q9" s="2"/>
      <c r="R9" s="2">
        <v>0.84760000000000002</v>
      </c>
      <c r="S9" s="2">
        <v>6.6500000000000004E-2</v>
      </c>
      <c r="T9" s="2">
        <v>1.0573999999999999</v>
      </c>
      <c r="U9" s="2">
        <v>0.4642</v>
      </c>
      <c r="V9" s="2">
        <f t="shared" si="1"/>
        <v>0</v>
      </c>
      <c r="W9" s="2">
        <f t="shared" si="2"/>
        <v>0</v>
      </c>
      <c r="X9" s="2">
        <f t="shared" si="3"/>
        <v>0.53069999999999995</v>
      </c>
      <c r="Y9" s="2">
        <f t="shared" si="0"/>
        <v>60.542679479932168</v>
      </c>
    </row>
    <row r="10" spans="1:30" x14ac:dyDescent="0.3">
      <c r="A10" s="15"/>
      <c r="B10" s="2" t="s">
        <v>18</v>
      </c>
      <c r="C10" s="2">
        <v>7</v>
      </c>
      <c r="D10" s="1"/>
      <c r="E10" s="1"/>
      <c r="F10" s="1"/>
      <c r="G10" s="1"/>
      <c r="H10" s="1"/>
      <c r="I10" s="1"/>
      <c r="J10" s="1">
        <v>2</v>
      </c>
      <c r="K10" s="1">
        <v>3</v>
      </c>
      <c r="L10" s="1">
        <v>3</v>
      </c>
      <c r="M10" s="1">
        <v>3</v>
      </c>
      <c r="N10" s="1">
        <v>3</v>
      </c>
      <c r="O10" s="1">
        <v>4</v>
      </c>
      <c r="P10" s="1"/>
      <c r="Q10" s="2"/>
      <c r="R10" s="2">
        <v>0.30570000000000003</v>
      </c>
      <c r="S10" s="2">
        <v>1.0200000000000001E-2</v>
      </c>
      <c r="T10" s="2">
        <v>0.84319999999999995</v>
      </c>
      <c r="U10" s="2">
        <v>0.2374</v>
      </c>
      <c r="V10" s="2">
        <f t="shared" si="1"/>
        <v>0</v>
      </c>
      <c r="W10" s="2">
        <f t="shared" si="2"/>
        <v>0</v>
      </c>
      <c r="X10" s="2">
        <f t="shared" si="3"/>
        <v>0.24759999999999999</v>
      </c>
      <c r="Y10" s="2">
        <f t="shared" si="0"/>
        <v>15.428109854604205</v>
      </c>
    </row>
    <row r="11" spans="1:30" x14ac:dyDescent="0.3">
      <c r="A11" s="15"/>
      <c r="B11" s="2" t="s">
        <v>19</v>
      </c>
      <c r="C11" s="2">
        <v>7</v>
      </c>
      <c r="D11" s="1"/>
      <c r="E11" s="1"/>
      <c r="F11" s="1"/>
      <c r="G11" s="1"/>
      <c r="H11" s="1"/>
      <c r="I11" s="1"/>
      <c r="J11" s="1">
        <v>2</v>
      </c>
      <c r="K11" s="1">
        <v>2</v>
      </c>
      <c r="L11" s="1">
        <v>3</v>
      </c>
      <c r="M11" s="1">
        <v>3</v>
      </c>
      <c r="N11" s="1">
        <v>4</v>
      </c>
      <c r="O11" s="1">
        <v>4</v>
      </c>
      <c r="P11" s="1"/>
      <c r="Q11" s="2"/>
      <c r="R11" s="2">
        <v>0.45569999999999999</v>
      </c>
      <c r="S11" s="2">
        <v>2.8500000000000001E-2</v>
      </c>
      <c r="T11" s="2">
        <v>1.0548</v>
      </c>
      <c r="U11" s="2">
        <v>0.32750000000000001</v>
      </c>
      <c r="V11" s="2">
        <f t="shared" si="1"/>
        <v>0</v>
      </c>
      <c r="W11" s="2">
        <f t="shared" si="2"/>
        <v>0</v>
      </c>
      <c r="X11" s="2">
        <f t="shared" si="3"/>
        <v>0.35600000000000004</v>
      </c>
      <c r="Y11" s="2">
        <f t="shared" si="0"/>
        <v>41.179775280898888</v>
      </c>
      <c r="AD11" s="11"/>
    </row>
    <row r="12" spans="1:30" x14ac:dyDescent="0.3">
      <c r="A12" s="15"/>
      <c r="B12" s="2" t="s">
        <v>20</v>
      </c>
      <c r="C12" s="2">
        <v>7</v>
      </c>
      <c r="D12" s="1"/>
      <c r="E12" s="1"/>
      <c r="F12" s="1"/>
      <c r="G12" s="1"/>
      <c r="H12" s="1"/>
      <c r="I12" s="1"/>
      <c r="J12" s="1">
        <v>2</v>
      </c>
      <c r="K12" s="1">
        <v>3</v>
      </c>
      <c r="L12" s="1">
        <v>3</v>
      </c>
      <c r="M12" s="1">
        <v>3</v>
      </c>
      <c r="N12" s="1">
        <v>4</v>
      </c>
      <c r="O12" s="1">
        <v>5</v>
      </c>
      <c r="P12" s="1"/>
      <c r="Q12" s="2"/>
      <c r="R12" s="2">
        <v>0.6512</v>
      </c>
      <c r="S12" s="2">
        <v>3.2599999999999997E-2</v>
      </c>
      <c r="T12" s="2">
        <v>0.33450000000000002</v>
      </c>
      <c r="U12" s="2">
        <v>2.8500000000000001E-2</v>
      </c>
      <c r="V12" s="2">
        <f t="shared" si="1"/>
        <v>0</v>
      </c>
      <c r="W12" s="2">
        <f t="shared" si="2"/>
        <v>0</v>
      </c>
      <c r="X12" s="2">
        <f t="shared" si="3"/>
        <v>6.1100000000000002E-2</v>
      </c>
      <c r="Y12" s="2">
        <f t="shared" si="0"/>
        <v>-242.71685761047462</v>
      </c>
      <c r="AD12" s="11"/>
    </row>
    <row r="13" spans="1:30" x14ac:dyDescent="0.3">
      <c r="A13" s="15"/>
      <c r="B13" s="2" t="s">
        <v>21</v>
      </c>
      <c r="C13" s="2">
        <v>7</v>
      </c>
      <c r="D13" s="1"/>
      <c r="E13" s="1"/>
      <c r="F13" s="1"/>
      <c r="G13" s="1"/>
      <c r="H13" s="1"/>
      <c r="I13" s="1"/>
      <c r="J13" s="1">
        <v>2</v>
      </c>
      <c r="K13" s="1">
        <v>3</v>
      </c>
      <c r="L13" s="1">
        <v>3</v>
      </c>
      <c r="M13" s="1">
        <v>4</v>
      </c>
      <c r="N13" s="1">
        <v>4</v>
      </c>
      <c r="O13" s="1">
        <v>4</v>
      </c>
      <c r="P13" s="1"/>
      <c r="Q13" s="2"/>
      <c r="R13" s="2">
        <v>0.3327</v>
      </c>
      <c r="S13" s="2">
        <v>1.4800000000000001E-2</v>
      </c>
      <c r="T13" s="2">
        <v>0.42320000000000002</v>
      </c>
      <c r="U13" s="2">
        <v>1.4200000000000001E-2</v>
      </c>
      <c r="V13" s="2">
        <f t="shared" si="1"/>
        <v>0</v>
      </c>
      <c r="W13" s="2">
        <f t="shared" si="2"/>
        <v>0</v>
      </c>
      <c r="X13" s="2">
        <f t="shared" si="3"/>
        <v>2.9000000000000001E-2</v>
      </c>
      <c r="Y13" s="2">
        <f t="shared" si="0"/>
        <v>-622.06896551724128</v>
      </c>
      <c r="AD13" s="11"/>
    </row>
    <row r="14" spans="1:30" x14ac:dyDescent="0.3">
      <c r="A14" s="15"/>
      <c r="B14" s="2" t="s">
        <v>22</v>
      </c>
      <c r="C14" s="1">
        <f t="shared" ref="C14:U14" si="4">AVERAGE(C4:C13)</f>
        <v>6.4</v>
      </c>
      <c r="D14" s="1" t="e">
        <f t="shared" si="4"/>
        <v>#DIV/0!</v>
      </c>
      <c r="E14" s="1" t="e">
        <f t="shared" si="4"/>
        <v>#DIV/0!</v>
      </c>
      <c r="F14" s="1" t="e">
        <f t="shared" si="4"/>
        <v>#DIV/0!</v>
      </c>
      <c r="G14" s="1" t="e">
        <f t="shared" si="4"/>
        <v>#DIV/0!</v>
      </c>
      <c r="H14" s="1" t="e">
        <f t="shared" si="4"/>
        <v>#DIV/0!</v>
      </c>
      <c r="I14" s="1" t="e">
        <f t="shared" si="4"/>
        <v>#DIV/0!</v>
      </c>
      <c r="J14" s="1">
        <f t="shared" si="4"/>
        <v>2</v>
      </c>
      <c r="K14" s="1">
        <f t="shared" si="4"/>
        <v>2.8</v>
      </c>
      <c r="L14" s="1">
        <f t="shared" si="4"/>
        <v>3.1</v>
      </c>
      <c r="M14" s="1">
        <f t="shared" si="4"/>
        <v>3.3</v>
      </c>
      <c r="N14" s="1">
        <f t="shared" si="4"/>
        <v>3.6</v>
      </c>
      <c r="O14" s="1">
        <f t="shared" si="4"/>
        <v>4</v>
      </c>
      <c r="P14" s="7">
        <f>AVERAGE(P4:P8)</f>
        <v>79.751599999999996</v>
      </c>
      <c r="Q14" s="7">
        <f>AVERAGE(Q4:Q8)</f>
        <v>72.652999999999992</v>
      </c>
      <c r="R14" s="1">
        <f t="shared" si="4"/>
        <v>0.41677999999999998</v>
      </c>
      <c r="S14" s="1">
        <f t="shared" si="4"/>
        <v>3.6119999999999999E-2</v>
      </c>
      <c r="T14" s="1">
        <f t="shared" si="4"/>
        <v>0.96946999999999994</v>
      </c>
      <c r="U14" s="1">
        <f t="shared" si="4"/>
        <v>0.23334000000000005</v>
      </c>
      <c r="V14" s="12">
        <f>AVERAGE(V4:V8)</f>
        <v>1.0626547314169066E-2</v>
      </c>
      <c r="W14" s="12">
        <f>AVERAGE(W4:W8)</f>
        <v>1.0856856797023263E-2</v>
      </c>
      <c r="X14" s="1">
        <f>AVERAGE(X4:X13)</f>
        <v>0.26945999999999992</v>
      </c>
      <c r="Y14" s="2">
        <f>AVERAGE(Y4:Y13)</f>
        <v>-64.719552454755274</v>
      </c>
      <c r="AD14" s="11"/>
    </row>
    <row r="15" spans="1:30" x14ac:dyDescent="0.3">
      <c r="AD15" s="11"/>
    </row>
    <row r="16" spans="1:30" ht="15" customHeight="1" x14ac:dyDescent="0.3">
      <c r="A16" s="16" t="s">
        <v>0</v>
      </c>
      <c r="B16" s="16" t="s">
        <v>1</v>
      </c>
      <c r="C16" s="19" t="s">
        <v>2</v>
      </c>
      <c r="D16" s="20" t="s">
        <v>3</v>
      </c>
      <c r="E16" s="20"/>
      <c r="F16" s="20"/>
      <c r="G16" s="20"/>
      <c r="H16" s="20"/>
      <c r="I16" s="20"/>
      <c r="J16" s="20" t="s">
        <v>4</v>
      </c>
      <c r="K16" s="20"/>
      <c r="L16" s="20"/>
      <c r="M16" s="20"/>
      <c r="N16" s="20"/>
      <c r="O16" s="20"/>
      <c r="P16" s="19" t="s">
        <v>35</v>
      </c>
      <c r="Q16" s="19" t="s">
        <v>5</v>
      </c>
      <c r="R16" s="19" t="s">
        <v>27</v>
      </c>
      <c r="S16" s="19" t="s">
        <v>6</v>
      </c>
      <c r="T16" s="19" t="s">
        <v>28</v>
      </c>
      <c r="U16" s="19" t="s">
        <v>7</v>
      </c>
      <c r="V16" s="13" t="s">
        <v>45</v>
      </c>
      <c r="W16" s="13" t="s">
        <v>44</v>
      </c>
      <c r="X16" s="16" t="s">
        <v>33</v>
      </c>
      <c r="Y16" s="16" t="s">
        <v>23</v>
      </c>
    </row>
    <row r="17" spans="1:25" x14ac:dyDescent="0.3">
      <c r="A17" s="16"/>
      <c r="B17" s="16"/>
      <c r="C17" s="19"/>
      <c r="D17" s="1" t="s">
        <v>8</v>
      </c>
      <c r="E17" s="1" t="s">
        <v>9</v>
      </c>
      <c r="F17" s="1" t="s">
        <v>10</v>
      </c>
      <c r="G17" s="1" t="s">
        <v>11</v>
      </c>
      <c r="H17" s="1" t="s">
        <v>29</v>
      </c>
      <c r="I17" s="1" t="s">
        <v>30</v>
      </c>
      <c r="J17" s="1" t="s">
        <v>8</v>
      </c>
      <c r="K17" s="1" t="s">
        <v>9</v>
      </c>
      <c r="L17" s="1" t="s">
        <v>10</v>
      </c>
      <c r="M17" s="1" t="s">
        <v>11</v>
      </c>
      <c r="N17" s="1" t="s">
        <v>32</v>
      </c>
      <c r="O17" s="1" t="s">
        <v>31</v>
      </c>
      <c r="P17" s="19"/>
      <c r="Q17" s="19"/>
      <c r="R17" s="19"/>
      <c r="S17" s="19"/>
      <c r="T17" s="19"/>
      <c r="U17" s="19"/>
      <c r="V17" s="14"/>
      <c r="W17" s="14"/>
      <c r="X17" s="16"/>
      <c r="Y17" s="16"/>
    </row>
    <row r="18" spans="1:25" ht="15" customHeight="1" x14ac:dyDescent="0.3">
      <c r="A18" s="15" t="s">
        <v>26</v>
      </c>
      <c r="B18" s="2" t="s">
        <v>12</v>
      </c>
      <c r="C18" s="2">
        <v>5</v>
      </c>
      <c r="D18" s="1"/>
      <c r="E18" s="1"/>
      <c r="F18" s="1"/>
      <c r="G18" s="1"/>
      <c r="H18" s="1"/>
      <c r="I18" s="1"/>
      <c r="J18" s="1">
        <v>1</v>
      </c>
      <c r="K18" s="1">
        <v>2</v>
      </c>
      <c r="L18" s="1">
        <v>2</v>
      </c>
      <c r="M18" s="1">
        <v>3</v>
      </c>
      <c r="N18" s="1">
        <v>4</v>
      </c>
      <c r="O18" s="1">
        <v>4</v>
      </c>
      <c r="P18" s="5">
        <v>125.49</v>
      </c>
      <c r="Q18" s="5">
        <v>10.939</v>
      </c>
      <c r="R18" s="2">
        <v>0.3301</v>
      </c>
      <c r="S18" s="2">
        <v>0.1022</v>
      </c>
      <c r="T18" s="2">
        <v>1.5286999999999999</v>
      </c>
      <c r="U18" s="2">
        <v>0.20979999999999999</v>
      </c>
      <c r="V18" s="10">
        <f>(P18/$P$56)/100</f>
        <v>1.6720986443595817E-2</v>
      </c>
      <c r="W18" s="10">
        <f t="shared" ref="W18:W27" si="5">(Q18/$Q$56)/100</f>
        <v>1.6346628012970901E-3</v>
      </c>
      <c r="X18" s="2">
        <f t="shared" ref="X18:X27" si="6">SUM(S18+U18)</f>
        <v>0.312</v>
      </c>
      <c r="Y18" s="2">
        <f t="shared" ref="Y18:Y27" si="7">(((S18+U18)-$X$56)/(S18+U18))*100</f>
        <v>32.884615384615387</v>
      </c>
    </row>
    <row r="19" spans="1:25" x14ac:dyDescent="0.3">
      <c r="A19" s="15"/>
      <c r="B19" s="2" t="s">
        <v>13</v>
      </c>
      <c r="C19" s="2">
        <v>5</v>
      </c>
      <c r="D19" s="1"/>
      <c r="E19" s="1"/>
      <c r="F19" s="1"/>
      <c r="G19" s="1"/>
      <c r="H19" s="1"/>
      <c r="I19" s="1"/>
      <c r="J19" s="1">
        <v>1</v>
      </c>
      <c r="K19" s="1">
        <v>2</v>
      </c>
      <c r="L19" s="1">
        <v>2</v>
      </c>
      <c r="M19" s="1">
        <v>2</v>
      </c>
      <c r="N19" s="1">
        <v>3</v>
      </c>
      <c r="O19" s="1">
        <v>3</v>
      </c>
      <c r="P19" s="5">
        <v>103.75530000000001</v>
      </c>
      <c r="Q19" s="5">
        <v>94.122</v>
      </c>
      <c r="R19" s="2">
        <v>1.0682</v>
      </c>
      <c r="S19" s="2">
        <v>7.2599999999999998E-2</v>
      </c>
      <c r="T19" s="2">
        <v>6.2222999999999997</v>
      </c>
      <c r="U19" s="2">
        <v>1.0250999999999999</v>
      </c>
      <c r="V19" s="10">
        <f t="shared" ref="V19:V27" si="8">(P19/$P$56)/100</f>
        <v>1.3824933976820601E-2</v>
      </c>
      <c r="W19" s="10">
        <f t="shared" si="5"/>
        <v>1.4065063733767686E-2</v>
      </c>
      <c r="X19" s="2">
        <f t="shared" si="6"/>
        <v>1.0976999999999999</v>
      </c>
      <c r="Y19" s="2">
        <f t="shared" si="7"/>
        <v>80.923749658376593</v>
      </c>
    </row>
    <row r="20" spans="1:25" x14ac:dyDescent="0.3">
      <c r="A20" s="15"/>
      <c r="B20" s="2" t="s">
        <v>14</v>
      </c>
      <c r="C20" s="2">
        <v>5</v>
      </c>
      <c r="D20" s="1"/>
      <c r="E20" s="1"/>
      <c r="F20" s="1"/>
      <c r="G20" s="1"/>
      <c r="H20" s="1"/>
      <c r="I20" s="1"/>
      <c r="J20" s="1">
        <v>2</v>
      </c>
      <c r="K20" s="1">
        <v>3</v>
      </c>
      <c r="L20" s="1">
        <v>3</v>
      </c>
      <c r="M20" s="1">
        <v>3</v>
      </c>
      <c r="N20" s="1">
        <v>4</v>
      </c>
      <c r="O20" s="1">
        <v>4</v>
      </c>
      <c r="P20" s="5">
        <v>99.18</v>
      </c>
      <c r="Q20" s="5">
        <v>11.093400000000001</v>
      </c>
      <c r="R20" s="2">
        <v>0.41060000000000002</v>
      </c>
      <c r="S20" s="2">
        <v>6.8400000000000002E-2</v>
      </c>
      <c r="T20" s="2">
        <v>2.7412000000000001</v>
      </c>
      <c r="U20" s="2">
        <v>0.44319999999999998</v>
      </c>
      <c r="V20" s="10">
        <f t="shared" si="8"/>
        <v>1.3215295525347304E-2</v>
      </c>
      <c r="W20" s="10">
        <f t="shared" si="5"/>
        <v>1.6577354712413513E-3</v>
      </c>
      <c r="X20" s="2">
        <f t="shared" si="6"/>
        <v>0.51159999999999994</v>
      </c>
      <c r="Y20" s="2">
        <f t="shared" si="7"/>
        <v>59.069585613760758</v>
      </c>
    </row>
    <row r="21" spans="1:25" x14ac:dyDescent="0.3">
      <c r="A21" s="15"/>
      <c r="B21" s="2" t="s">
        <v>15</v>
      </c>
      <c r="C21" s="2">
        <v>5</v>
      </c>
      <c r="D21" s="1"/>
      <c r="E21" s="1"/>
      <c r="F21" s="1"/>
      <c r="G21" s="1"/>
      <c r="H21" s="1"/>
      <c r="I21" s="1"/>
      <c r="J21" s="1">
        <v>2</v>
      </c>
      <c r="K21" s="1">
        <v>3</v>
      </c>
      <c r="L21" s="1">
        <v>2</v>
      </c>
      <c r="M21" s="1">
        <v>3</v>
      </c>
      <c r="N21" s="1">
        <v>4</v>
      </c>
      <c r="O21" s="1">
        <v>4</v>
      </c>
      <c r="P21" s="5">
        <v>103.57</v>
      </c>
      <c r="Q21" s="5">
        <v>80.069000000000003</v>
      </c>
      <c r="R21" s="2">
        <v>0.81159999999999999</v>
      </c>
      <c r="S21" s="2">
        <v>4.4900000000000002E-2</v>
      </c>
      <c r="T21" s="2">
        <v>4.2862</v>
      </c>
      <c r="U21" s="2">
        <v>0.59570000000000001</v>
      </c>
      <c r="V21" s="10">
        <f t="shared" si="8"/>
        <v>1.3800243572899981E-2</v>
      </c>
      <c r="W21" s="10">
        <f t="shared" si="5"/>
        <v>1.196506223942378E-2</v>
      </c>
      <c r="X21" s="2">
        <f t="shared" si="6"/>
        <v>0.64060000000000006</v>
      </c>
      <c r="Y21" s="2">
        <f t="shared" si="7"/>
        <v>67.311895098345303</v>
      </c>
    </row>
    <row r="22" spans="1:25" x14ac:dyDescent="0.3">
      <c r="A22" s="15"/>
      <c r="B22" s="2" t="s">
        <v>16</v>
      </c>
      <c r="C22" s="2">
        <v>5</v>
      </c>
      <c r="D22" s="1"/>
      <c r="E22" s="1"/>
      <c r="F22" s="1"/>
      <c r="G22" s="1"/>
      <c r="H22" s="1"/>
      <c r="I22" s="1"/>
      <c r="J22" s="1">
        <v>2</v>
      </c>
      <c r="K22" s="1">
        <v>2</v>
      </c>
      <c r="L22" s="1">
        <v>3</v>
      </c>
      <c r="M22" s="1">
        <v>3</v>
      </c>
      <c r="N22" s="1">
        <v>4</v>
      </c>
      <c r="O22" s="1">
        <v>4</v>
      </c>
      <c r="P22" s="5">
        <v>115.04</v>
      </c>
      <c r="Q22" s="5">
        <v>81.432000000000002</v>
      </c>
      <c r="R22" s="2">
        <v>0.56830000000000003</v>
      </c>
      <c r="S22" s="2">
        <v>2.8799999999999999E-2</v>
      </c>
      <c r="T22" s="2">
        <v>2.4344000000000001</v>
      </c>
      <c r="U22" s="2">
        <v>0.29070000000000001</v>
      </c>
      <c r="V22" s="10">
        <f t="shared" si="8"/>
        <v>1.532857024839639E-2</v>
      </c>
      <c r="W22" s="10">
        <f t="shared" si="5"/>
        <v>1.2168741314126031E-2</v>
      </c>
      <c r="X22" s="2">
        <f t="shared" si="6"/>
        <v>0.31950000000000001</v>
      </c>
      <c r="Y22" s="2">
        <f t="shared" si="7"/>
        <v>34.460093896713623</v>
      </c>
    </row>
    <row r="23" spans="1:25" x14ac:dyDescent="0.3">
      <c r="A23" s="15"/>
      <c r="B23" s="2" t="s">
        <v>17</v>
      </c>
      <c r="C23" s="2">
        <v>6</v>
      </c>
      <c r="D23" s="1"/>
      <c r="E23" s="1"/>
      <c r="F23" s="1"/>
      <c r="G23" s="1"/>
      <c r="H23" s="1"/>
      <c r="I23" s="1"/>
      <c r="J23" s="1">
        <v>2</v>
      </c>
      <c r="K23" s="1">
        <v>2</v>
      </c>
      <c r="L23" s="1">
        <v>3</v>
      </c>
      <c r="M23" s="1">
        <v>4</v>
      </c>
      <c r="N23" s="1">
        <v>4</v>
      </c>
      <c r="O23" s="1">
        <v>4</v>
      </c>
      <c r="P23" s="1"/>
      <c r="Q23" s="2"/>
      <c r="R23" s="2">
        <v>0.4274</v>
      </c>
      <c r="S23" s="2">
        <v>2.4299999999999999E-2</v>
      </c>
      <c r="T23" s="2">
        <v>4.2103000000000002</v>
      </c>
      <c r="U23" s="2">
        <v>0.53449999999999998</v>
      </c>
      <c r="V23" s="2">
        <f t="shared" si="8"/>
        <v>0</v>
      </c>
      <c r="W23" s="2">
        <f t="shared" si="5"/>
        <v>0</v>
      </c>
      <c r="X23" s="2">
        <f t="shared" si="6"/>
        <v>0.55879999999999996</v>
      </c>
      <c r="Y23" s="2">
        <f t="shared" si="7"/>
        <v>62.526843235504657</v>
      </c>
    </row>
    <row r="24" spans="1:25" x14ac:dyDescent="0.3">
      <c r="A24" s="15"/>
      <c r="B24" s="2" t="s">
        <v>18</v>
      </c>
      <c r="C24" s="2">
        <v>6</v>
      </c>
      <c r="D24" s="1"/>
      <c r="E24" s="1"/>
      <c r="F24" s="1"/>
      <c r="G24" s="1"/>
      <c r="H24" s="1"/>
      <c r="I24" s="1"/>
      <c r="J24" s="1">
        <v>2</v>
      </c>
      <c r="K24" s="1">
        <v>3</v>
      </c>
      <c r="L24" s="1">
        <v>4</v>
      </c>
      <c r="M24" s="1">
        <v>4</v>
      </c>
      <c r="N24" s="1">
        <v>4</v>
      </c>
      <c r="O24" s="1">
        <v>5</v>
      </c>
      <c r="P24" s="1"/>
      <c r="Q24" s="2"/>
      <c r="R24" s="2">
        <v>0.81469999999999998</v>
      </c>
      <c r="S24" s="2">
        <v>5.4199999999999998E-2</v>
      </c>
      <c r="T24" s="2">
        <v>3.2214</v>
      </c>
      <c r="U24" s="2">
        <v>0.44529999999999997</v>
      </c>
      <c r="V24" s="2">
        <f t="shared" si="8"/>
        <v>0</v>
      </c>
      <c r="W24" s="2">
        <f t="shared" si="5"/>
        <v>0</v>
      </c>
      <c r="X24" s="2">
        <f t="shared" si="6"/>
        <v>0.49949999999999994</v>
      </c>
      <c r="Y24" s="2">
        <f t="shared" si="7"/>
        <v>58.078078078078079</v>
      </c>
    </row>
    <row r="25" spans="1:25" x14ac:dyDescent="0.3">
      <c r="A25" s="15"/>
      <c r="B25" s="2" t="s">
        <v>19</v>
      </c>
      <c r="C25" s="2">
        <v>6</v>
      </c>
      <c r="D25" s="1"/>
      <c r="E25" s="1"/>
      <c r="F25" s="1"/>
      <c r="G25" s="1"/>
      <c r="H25" s="1"/>
      <c r="I25" s="1"/>
      <c r="J25" s="1">
        <v>2</v>
      </c>
      <c r="K25" s="1">
        <v>2</v>
      </c>
      <c r="L25" s="1">
        <v>3</v>
      </c>
      <c r="M25" s="1">
        <v>4</v>
      </c>
      <c r="N25" s="1">
        <v>4</v>
      </c>
      <c r="O25" s="1">
        <v>5</v>
      </c>
      <c r="P25" s="1"/>
      <c r="Q25" s="2"/>
      <c r="R25" s="2">
        <v>0.33250000000000002</v>
      </c>
      <c r="S25" s="2">
        <v>5.62E-2</v>
      </c>
      <c r="T25" s="2">
        <v>2.3389000000000002</v>
      </c>
      <c r="U25" s="2">
        <v>0.24729999999999999</v>
      </c>
      <c r="V25" s="2">
        <f t="shared" si="8"/>
        <v>0</v>
      </c>
      <c r="W25" s="2">
        <f t="shared" si="5"/>
        <v>0</v>
      </c>
      <c r="X25" s="2">
        <f t="shared" si="6"/>
        <v>0.30349999999999999</v>
      </c>
      <c r="Y25" s="2">
        <f t="shared" si="7"/>
        <v>31.004942339373976</v>
      </c>
    </row>
    <row r="26" spans="1:25" x14ac:dyDescent="0.3">
      <c r="A26" s="15"/>
      <c r="B26" s="2" t="s">
        <v>20</v>
      </c>
      <c r="C26" s="2">
        <v>6</v>
      </c>
      <c r="D26" s="1"/>
      <c r="E26" s="1"/>
      <c r="F26" s="1"/>
      <c r="G26" s="1"/>
      <c r="H26" s="1"/>
      <c r="I26" s="1"/>
      <c r="J26" s="1">
        <v>2</v>
      </c>
      <c r="K26" s="1">
        <v>3</v>
      </c>
      <c r="L26" s="1">
        <v>4</v>
      </c>
      <c r="M26" s="1">
        <v>4</v>
      </c>
      <c r="N26" s="1">
        <v>4</v>
      </c>
      <c r="O26" s="1">
        <v>4</v>
      </c>
      <c r="P26" s="1"/>
      <c r="Q26" s="2"/>
      <c r="R26" s="2">
        <v>0.42230000000000001</v>
      </c>
      <c r="S26" s="2">
        <v>1.6799999999999999E-2</v>
      </c>
      <c r="T26" s="2">
        <v>4.2587000000000002</v>
      </c>
      <c r="U26" s="2">
        <v>0.3241</v>
      </c>
      <c r="V26" s="2">
        <f t="shared" si="8"/>
        <v>0</v>
      </c>
      <c r="W26" s="2">
        <f t="shared" si="5"/>
        <v>0</v>
      </c>
      <c r="X26" s="2">
        <f t="shared" si="6"/>
        <v>0.34089999999999998</v>
      </c>
      <c r="Y26" s="2">
        <f t="shared" si="7"/>
        <v>38.574361982986218</v>
      </c>
    </row>
    <row r="27" spans="1:25" x14ac:dyDescent="0.3">
      <c r="A27" s="15"/>
      <c r="B27" s="2" t="s">
        <v>21</v>
      </c>
      <c r="C27" s="2">
        <v>6</v>
      </c>
      <c r="D27" s="1"/>
      <c r="E27" s="1"/>
      <c r="F27" s="1"/>
      <c r="G27" s="1"/>
      <c r="H27" s="1"/>
      <c r="I27" s="1"/>
      <c r="J27" s="1">
        <v>2</v>
      </c>
      <c r="K27" s="1">
        <v>3</v>
      </c>
      <c r="L27" s="1">
        <v>3</v>
      </c>
      <c r="M27" s="1">
        <v>4</v>
      </c>
      <c r="N27" s="1">
        <v>4</v>
      </c>
      <c r="O27" s="1">
        <v>5</v>
      </c>
      <c r="P27" s="1"/>
      <c r="Q27" s="2"/>
      <c r="R27" s="2">
        <v>1.0066999999999999</v>
      </c>
      <c r="S27" s="2">
        <v>9.8699999999999996E-2</v>
      </c>
      <c r="T27" s="2">
        <v>3.2536999999999998</v>
      </c>
      <c r="U27" s="2">
        <v>0.21540000000000001</v>
      </c>
      <c r="V27" s="2">
        <f t="shared" si="8"/>
        <v>0</v>
      </c>
      <c r="W27" s="2">
        <f t="shared" si="5"/>
        <v>0</v>
      </c>
      <c r="X27" s="2">
        <f t="shared" si="6"/>
        <v>0.31409999999999999</v>
      </c>
      <c r="Y27" s="2">
        <f t="shared" si="7"/>
        <v>33.333333333333336</v>
      </c>
    </row>
    <row r="28" spans="1:25" x14ac:dyDescent="0.3">
      <c r="A28" s="15"/>
      <c r="B28" s="2" t="s">
        <v>22</v>
      </c>
      <c r="C28" s="1">
        <f t="shared" ref="C28:O28" si="9">AVERAGE(C18:C27)</f>
        <v>5.5</v>
      </c>
      <c r="D28" s="1" t="e">
        <f t="shared" si="9"/>
        <v>#DIV/0!</v>
      </c>
      <c r="E28" s="1" t="e">
        <f t="shared" si="9"/>
        <v>#DIV/0!</v>
      </c>
      <c r="F28" s="1" t="e">
        <f t="shared" si="9"/>
        <v>#DIV/0!</v>
      </c>
      <c r="G28" s="1" t="e">
        <f t="shared" si="9"/>
        <v>#DIV/0!</v>
      </c>
      <c r="H28" s="1" t="e">
        <f t="shared" si="9"/>
        <v>#DIV/0!</v>
      </c>
      <c r="I28" s="1" t="e">
        <f t="shared" si="9"/>
        <v>#DIV/0!</v>
      </c>
      <c r="J28" s="1">
        <f t="shared" si="9"/>
        <v>1.8</v>
      </c>
      <c r="K28" s="1">
        <f t="shared" si="9"/>
        <v>2.5</v>
      </c>
      <c r="L28" s="1">
        <f t="shared" si="9"/>
        <v>2.9</v>
      </c>
      <c r="M28" s="1">
        <f t="shared" si="9"/>
        <v>3.4</v>
      </c>
      <c r="N28" s="1">
        <f t="shared" si="9"/>
        <v>3.9</v>
      </c>
      <c r="O28" s="1">
        <f t="shared" si="9"/>
        <v>4.2</v>
      </c>
      <c r="P28" s="7">
        <f>AVERAGE(P18:P22)</f>
        <v>109.40706</v>
      </c>
      <c r="Q28" s="7">
        <f>AVERAGE(Q18:Q22)</f>
        <v>55.53108000000001</v>
      </c>
      <c r="R28" s="1">
        <f>AVERAGE(R18:R27)</f>
        <v>0.61924000000000012</v>
      </c>
      <c r="S28" s="1">
        <f>AVERAGE(S18:S27)</f>
        <v>5.6709999999999997E-2</v>
      </c>
      <c r="T28" s="1">
        <f>AVERAGE(T18:T27)</f>
        <v>3.4495800000000001</v>
      </c>
      <c r="U28" s="1">
        <f>AVERAGE(U18:U27)</f>
        <v>0.43310999999999999</v>
      </c>
      <c r="V28" s="12">
        <f>AVERAGE(V18:V22)</f>
        <v>1.4578005953412018E-2</v>
      </c>
      <c r="W28" s="12">
        <f>AVERAGE(W18:W22)</f>
        <v>8.2982531119711878E-3</v>
      </c>
      <c r="X28" s="1">
        <f>AVERAGE(X18:X27)</f>
        <v>0.48981999999999992</v>
      </c>
      <c r="Y28" s="1">
        <f>AVERAGE(Y18:Y27)</f>
        <v>49.816749862108793</v>
      </c>
    </row>
    <row r="30" spans="1:25" ht="15" customHeight="1" x14ac:dyDescent="0.3">
      <c r="A30" s="16" t="s">
        <v>0</v>
      </c>
      <c r="B30" s="17" t="s">
        <v>1</v>
      </c>
      <c r="C30" s="13" t="s">
        <v>2</v>
      </c>
      <c r="D30" s="21" t="s">
        <v>3</v>
      </c>
      <c r="E30" s="22"/>
      <c r="F30" s="22"/>
      <c r="G30" s="22"/>
      <c r="H30" s="22"/>
      <c r="I30" s="22"/>
      <c r="J30" s="21" t="s">
        <v>4</v>
      </c>
      <c r="K30" s="22"/>
      <c r="L30" s="22"/>
      <c r="M30" s="22"/>
      <c r="N30" s="22"/>
      <c r="O30" s="23"/>
      <c r="P30" s="24" t="s">
        <v>35</v>
      </c>
      <c r="Q30" s="19" t="s">
        <v>5</v>
      </c>
      <c r="R30" s="19" t="s">
        <v>27</v>
      </c>
      <c r="S30" s="19" t="s">
        <v>6</v>
      </c>
      <c r="T30" s="19" t="s">
        <v>28</v>
      </c>
      <c r="U30" s="19" t="s">
        <v>7</v>
      </c>
      <c r="V30" s="13" t="s">
        <v>45</v>
      </c>
      <c r="W30" s="13" t="s">
        <v>44</v>
      </c>
      <c r="X30" s="16" t="s">
        <v>33</v>
      </c>
      <c r="Y30" s="17" t="s">
        <v>23</v>
      </c>
    </row>
    <row r="31" spans="1:25" x14ac:dyDescent="0.3">
      <c r="A31" s="16"/>
      <c r="B31" s="18"/>
      <c r="C31" s="14"/>
      <c r="D31" s="1" t="s">
        <v>8</v>
      </c>
      <c r="E31" s="1" t="s">
        <v>9</v>
      </c>
      <c r="F31" s="1" t="s">
        <v>10</v>
      </c>
      <c r="G31" s="1" t="s">
        <v>11</v>
      </c>
      <c r="H31" s="1" t="s">
        <v>29</v>
      </c>
      <c r="I31" s="1" t="s">
        <v>30</v>
      </c>
      <c r="J31" s="1" t="s">
        <v>8</v>
      </c>
      <c r="K31" s="1" t="s">
        <v>9</v>
      </c>
      <c r="L31" s="1" t="s">
        <v>10</v>
      </c>
      <c r="M31" s="4" t="s">
        <v>11</v>
      </c>
      <c r="N31" s="4" t="s">
        <v>29</v>
      </c>
      <c r="O31" s="4" t="s">
        <v>30</v>
      </c>
      <c r="P31" s="25"/>
      <c r="Q31" s="19"/>
      <c r="R31" s="19"/>
      <c r="S31" s="19"/>
      <c r="T31" s="19"/>
      <c r="U31" s="19"/>
      <c r="V31" s="14"/>
      <c r="W31" s="14"/>
      <c r="X31" s="16"/>
      <c r="Y31" s="18"/>
    </row>
    <row r="32" spans="1:25" x14ac:dyDescent="0.3">
      <c r="A32" s="15" t="s">
        <v>25</v>
      </c>
      <c r="B32" s="2" t="s">
        <v>12</v>
      </c>
      <c r="C32" s="2">
        <v>6</v>
      </c>
      <c r="D32" s="1"/>
      <c r="E32" s="1"/>
      <c r="F32" s="1"/>
      <c r="G32" s="1"/>
      <c r="H32" s="1"/>
      <c r="I32" s="1"/>
      <c r="J32" s="1">
        <v>2</v>
      </c>
      <c r="K32" s="1">
        <v>3</v>
      </c>
      <c r="L32" s="1">
        <v>3</v>
      </c>
      <c r="M32" s="4">
        <v>3</v>
      </c>
      <c r="N32" s="4">
        <v>4</v>
      </c>
      <c r="O32" s="4">
        <v>5</v>
      </c>
      <c r="P32" s="5">
        <v>94.593000000000004</v>
      </c>
      <c r="Q32" s="5">
        <v>72.292000000000002</v>
      </c>
      <c r="R32" s="2">
        <v>0.4451</v>
      </c>
      <c r="S32" s="2">
        <v>0.1321</v>
      </c>
      <c r="T32" s="2">
        <v>5.5210999999999997</v>
      </c>
      <c r="U32" s="2">
        <v>0.73660000000000003</v>
      </c>
      <c r="V32" s="10">
        <f>(P32/$P$56)/100</f>
        <v>1.2604098100717659E-2</v>
      </c>
      <c r="W32" s="10">
        <f t="shared" ref="W32:W41" si="10">(Q32/$Q$56)/100</f>
        <v>1.0802910981933381E-2</v>
      </c>
      <c r="X32" s="2">
        <f t="shared" ref="X32:X41" si="11">SUM(S32+U32)</f>
        <v>0.86870000000000003</v>
      </c>
      <c r="Y32" s="2">
        <f t="shared" ref="Y32:Y41" si="12">(((S32+U32)-$X$56)/(S32+U32))*100</f>
        <v>75.895015540462765</v>
      </c>
    </row>
    <row r="33" spans="1:25" x14ac:dyDescent="0.3">
      <c r="A33" s="15"/>
      <c r="B33" s="2" t="s">
        <v>13</v>
      </c>
      <c r="C33" s="2">
        <v>6</v>
      </c>
      <c r="D33" s="1"/>
      <c r="E33" s="1"/>
      <c r="F33" s="1"/>
      <c r="G33" s="1"/>
      <c r="H33" s="1"/>
      <c r="I33" s="1"/>
      <c r="J33" s="1">
        <v>2</v>
      </c>
      <c r="K33" s="1">
        <v>2</v>
      </c>
      <c r="L33" s="1">
        <v>3</v>
      </c>
      <c r="M33" s="4">
        <v>4</v>
      </c>
      <c r="N33" s="4">
        <v>4</v>
      </c>
      <c r="O33" s="4">
        <v>4</v>
      </c>
      <c r="P33" s="5">
        <v>97.765000000000001</v>
      </c>
      <c r="Q33" s="5">
        <v>46.36</v>
      </c>
      <c r="R33" s="2">
        <v>0.19220000000000001</v>
      </c>
      <c r="S33" s="2">
        <v>5.7500000000000002E-2</v>
      </c>
      <c r="T33" s="2">
        <v>3.6852</v>
      </c>
      <c r="U33" s="2">
        <v>0.36209999999999998</v>
      </c>
      <c r="V33" s="10">
        <f t="shared" ref="V33:V41" si="13">(P33/$P$56)/100</f>
        <v>1.3026753045327476E-2</v>
      </c>
      <c r="W33" s="10">
        <f t="shared" si="10"/>
        <v>6.9277783589115184E-3</v>
      </c>
      <c r="X33" s="2">
        <f t="shared" si="11"/>
        <v>0.41959999999999997</v>
      </c>
      <c r="Y33" s="2">
        <f t="shared" si="12"/>
        <v>50.095328884652055</v>
      </c>
    </row>
    <row r="34" spans="1:25" x14ac:dyDescent="0.3">
      <c r="A34" s="15"/>
      <c r="B34" s="2" t="s">
        <v>14</v>
      </c>
      <c r="C34" s="2">
        <v>6</v>
      </c>
      <c r="D34" s="1"/>
      <c r="E34" s="1"/>
      <c r="F34" s="1"/>
      <c r="G34" s="1"/>
      <c r="H34" s="1"/>
      <c r="I34" s="1"/>
      <c r="J34" s="1">
        <v>2</v>
      </c>
      <c r="K34" s="1">
        <v>2</v>
      </c>
      <c r="L34" s="1">
        <v>3</v>
      </c>
      <c r="M34" s="4">
        <v>3</v>
      </c>
      <c r="N34" s="4">
        <v>4</v>
      </c>
      <c r="O34" s="4">
        <v>4</v>
      </c>
      <c r="P34" s="5">
        <v>90.445999999999998</v>
      </c>
      <c r="Q34" s="5">
        <v>12.095000000000001</v>
      </c>
      <c r="R34" s="2">
        <v>0.3478</v>
      </c>
      <c r="S34" s="2">
        <v>4.65E-2</v>
      </c>
      <c r="T34" s="2">
        <v>2.4329000000000001</v>
      </c>
      <c r="U34" s="2">
        <v>0.30480000000000002</v>
      </c>
      <c r="V34" s="10">
        <f t="shared" si="13"/>
        <v>1.2051528726412202E-2</v>
      </c>
      <c r="W34" s="10">
        <f t="shared" si="10"/>
        <v>1.8074089570973861E-3</v>
      </c>
      <c r="X34" s="2">
        <f t="shared" si="11"/>
        <v>0.3513</v>
      </c>
      <c r="Y34" s="2">
        <f t="shared" si="12"/>
        <v>40.392826643894111</v>
      </c>
    </row>
    <row r="35" spans="1:25" x14ac:dyDescent="0.3">
      <c r="A35" s="15"/>
      <c r="B35" s="2" t="s">
        <v>15</v>
      </c>
      <c r="C35" s="2">
        <v>7</v>
      </c>
      <c r="D35" s="1"/>
      <c r="E35" s="1"/>
      <c r="F35" s="1"/>
      <c r="G35" s="1"/>
      <c r="H35" s="1"/>
      <c r="I35" s="1"/>
      <c r="J35" s="1">
        <v>2</v>
      </c>
      <c r="K35" s="1">
        <v>3</v>
      </c>
      <c r="L35" s="1">
        <v>3</v>
      </c>
      <c r="M35" s="4">
        <v>3</v>
      </c>
      <c r="N35" s="4">
        <v>3</v>
      </c>
      <c r="O35" s="4">
        <v>3</v>
      </c>
      <c r="P35" s="5">
        <v>123.24</v>
      </c>
      <c r="Q35" s="5">
        <v>78.712999999999994</v>
      </c>
      <c r="R35" s="2">
        <v>0.26640000000000003</v>
      </c>
      <c r="S35" s="2">
        <v>2.3900000000000001E-2</v>
      </c>
      <c r="T35" s="2">
        <v>2.4113000000000002</v>
      </c>
      <c r="U35" s="2">
        <v>0.23089999999999999</v>
      </c>
      <c r="V35" s="10">
        <f t="shared" si="13"/>
        <v>1.6421183913528953E-2</v>
      </c>
      <c r="W35" s="10">
        <f t="shared" si="10"/>
        <v>1.1762429205457342E-2</v>
      </c>
      <c r="X35" s="2">
        <f t="shared" si="11"/>
        <v>0.25479999999999997</v>
      </c>
      <c r="Y35" s="2">
        <f t="shared" si="12"/>
        <v>17.817896389324961</v>
      </c>
    </row>
    <row r="36" spans="1:25" x14ac:dyDescent="0.3">
      <c r="A36" s="15"/>
      <c r="B36" s="2" t="s">
        <v>16</v>
      </c>
      <c r="C36" s="2">
        <v>7</v>
      </c>
      <c r="D36" s="1"/>
      <c r="E36" s="1"/>
      <c r="F36" s="1"/>
      <c r="G36" s="1"/>
      <c r="H36" s="1"/>
      <c r="I36" s="1"/>
      <c r="J36" s="1">
        <v>2</v>
      </c>
      <c r="K36" s="1">
        <v>2</v>
      </c>
      <c r="L36" s="1">
        <v>3</v>
      </c>
      <c r="M36" s="4">
        <v>3</v>
      </c>
      <c r="N36" s="4">
        <v>4</v>
      </c>
      <c r="O36" s="4">
        <v>4</v>
      </c>
      <c r="P36" s="5">
        <v>108.63</v>
      </c>
      <c r="Q36" s="5">
        <v>89.293999999999997</v>
      </c>
      <c r="R36" s="2">
        <v>0.7974</v>
      </c>
      <c r="S36" s="2">
        <v>0.1106</v>
      </c>
      <c r="T36" s="2">
        <v>2.3763999999999998</v>
      </c>
      <c r="U36" s="2">
        <v>0.1946</v>
      </c>
      <c r="V36" s="10">
        <f t="shared" si="13"/>
        <v>1.4474466151628127E-2</v>
      </c>
      <c r="W36" s="10">
        <f t="shared" si="10"/>
        <v>1.334359449483704E-2</v>
      </c>
      <c r="X36" s="2">
        <f t="shared" si="11"/>
        <v>0.30520000000000003</v>
      </c>
      <c r="Y36" s="2">
        <f t="shared" si="12"/>
        <v>31.389252948885993</v>
      </c>
    </row>
    <row r="37" spans="1:25" x14ac:dyDescent="0.3">
      <c r="A37" s="15"/>
      <c r="B37" s="2" t="s">
        <v>17</v>
      </c>
      <c r="C37" s="2">
        <v>7</v>
      </c>
      <c r="D37" s="1"/>
      <c r="E37" s="1"/>
      <c r="F37" s="1"/>
      <c r="G37" s="1"/>
      <c r="H37" s="1"/>
      <c r="I37" s="1"/>
      <c r="J37" s="1">
        <v>2</v>
      </c>
      <c r="K37" s="1">
        <v>2</v>
      </c>
      <c r="L37" s="1">
        <v>2</v>
      </c>
      <c r="M37" s="4">
        <v>3</v>
      </c>
      <c r="N37" s="4">
        <v>4</v>
      </c>
      <c r="O37" s="4">
        <v>4</v>
      </c>
      <c r="P37" s="4"/>
      <c r="Q37" s="2"/>
      <c r="R37" s="2">
        <v>0.84709999999999996</v>
      </c>
      <c r="S37" s="2">
        <v>0.1132</v>
      </c>
      <c r="T37" s="2">
        <v>2.5432000000000001</v>
      </c>
      <c r="U37" s="2">
        <v>0.17430000000000001</v>
      </c>
      <c r="V37" s="2">
        <f t="shared" si="13"/>
        <v>0</v>
      </c>
      <c r="W37" s="2">
        <f t="shared" si="10"/>
        <v>0</v>
      </c>
      <c r="X37" s="2">
        <f t="shared" si="11"/>
        <v>0.28749999999999998</v>
      </c>
      <c r="Y37" s="2">
        <f t="shared" si="12"/>
        <v>27.165217391304353</v>
      </c>
    </row>
    <row r="38" spans="1:25" x14ac:dyDescent="0.3">
      <c r="A38" s="15"/>
      <c r="B38" s="2" t="s">
        <v>18</v>
      </c>
      <c r="C38" s="2">
        <v>7</v>
      </c>
      <c r="D38" s="1"/>
      <c r="E38" s="1"/>
      <c r="F38" s="1"/>
      <c r="G38" s="1"/>
      <c r="H38" s="1"/>
      <c r="I38" s="1"/>
      <c r="J38" s="1">
        <v>2</v>
      </c>
      <c r="K38" s="1">
        <v>2</v>
      </c>
      <c r="L38" s="1">
        <v>2</v>
      </c>
      <c r="M38" s="4">
        <v>3</v>
      </c>
      <c r="N38" s="4">
        <v>3</v>
      </c>
      <c r="O38" s="4">
        <v>3</v>
      </c>
      <c r="P38" s="4"/>
      <c r="Q38" s="2"/>
      <c r="R38" s="2">
        <v>0.1764</v>
      </c>
      <c r="S38" s="2">
        <v>3.2099999999999997E-2</v>
      </c>
      <c r="T38" s="2">
        <v>1.2555000000000001</v>
      </c>
      <c r="U38" s="2">
        <v>0.15620000000000001</v>
      </c>
      <c r="V38" s="2">
        <f t="shared" si="13"/>
        <v>0</v>
      </c>
      <c r="W38" s="2">
        <f t="shared" si="10"/>
        <v>0</v>
      </c>
      <c r="X38" s="2">
        <f t="shared" si="11"/>
        <v>0.1883</v>
      </c>
      <c r="Y38" s="2">
        <f t="shared" si="12"/>
        <v>-11.205523101433872</v>
      </c>
    </row>
    <row r="39" spans="1:25" x14ac:dyDescent="0.3">
      <c r="A39" s="15"/>
      <c r="B39" s="2" t="s">
        <v>19</v>
      </c>
      <c r="C39" s="2">
        <v>8</v>
      </c>
      <c r="D39" s="1"/>
      <c r="E39" s="1"/>
      <c r="F39" s="1"/>
      <c r="G39" s="1"/>
      <c r="H39" s="1"/>
      <c r="I39" s="1"/>
      <c r="J39" s="1">
        <v>2</v>
      </c>
      <c r="K39" s="1">
        <v>2</v>
      </c>
      <c r="L39" s="1">
        <v>2</v>
      </c>
      <c r="M39" s="4">
        <v>2</v>
      </c>
      <c r="N39" s="4">
        <v>3</v>
      </c>
      <c r="O39" s="4">
        <v>3</v>
      </c>
      <c r="P39" s="4"/>
      <c r="Q39" s="2"/>
      <c r="R39" s="2">
        <v>0.21429999999999999</v>
      </c>
      <c r="S39" s="2">
        <v>1.18E-2</v>
      </c>
      <c r="T39" s="2">
        <v>2.1873</v>
      </c>
      <c r="U39" s="2">
        <v>0.1585</v>
      </c>
      <c r="V39" s="2">
        <f t="shared" si="13"/>
        <v>0</v>
      </c>
      <c r="W39" s="2">
        <f t="shared" si="10"/>
        <v>0</v>
      </c>
      <c r="X39" s="2">
        <f t="shared" si="11"/>
        <v>0.17030000000000001</v>
      </c>
      <c r="Y39" s="2">
        <f t="shared" si="12"/>
        <v>-22.959483264826758</v>
      </c>
    </row>
    <row r="40" spans="1:25" x14ac:dyDescent="0.3">
      <c r="A40" s="15"/>
      <c r="B40" s="2" t="s">
        <v>20</v>
      </c>
      <c r="C40" s="2">
        <v>8</v>
      </c>
      <c r="D40" s="1"/>
      <c r="E40" s="1"/>
      <c r="F40" s="1"/>
      <c r="G40" s="1"/>
      <c r="H40" s="1"/>
      <c r="I40" s="1"/>
      <c r="J40" s="1">
        <v>2</v>
      </c>
      <c r="K40" s="1">
        <v>2</v>
      </c>
      <c r="L40" s="1">
        <v>2</v>
      </c>
      <c r="M40" s="4">
        <v>2</v>
      </c>
      <c r="N40" s="4">
        <v>3</v>
      </c>
      <c r="O40" s="4">
        <v>4</v>
      </c>
      <c r="P40" s="4"/>
      <c r="Q40" s="2"/>
      <c r="R40" s="2">
        <v>0.3211</v>
      </c>
      <c r="S40" s="2">
        <v>3.7199999999999997E-2</v>
      </c>
      <c r="T40" s="2">
        <v>2.2361</v>
      </c>
      <c r="U40" s="2">
        <v>0.2114</v>
      </c>
      <c r="V40" s="2">
        <f t="shared" si="13"/>
        <v>0</v>
      </c>
      <c r="W40" s="2">
        <f t="shared" si="10"/>
        <v>0</v>
      </c>
      <c r="X40" s="2">
        <f t="shared" si="11"/>
        <v>0.24859999999999999</v>
      </c>
      <c r="Y40" s="2">
        <f t="shared" si="12"/>
        <v>15.768302493966216</v>
      </c>
    </row>
    <row r="41" spans="1:25" x14ac:dyDescent="0.3">
      <c r="A41" s="15"/>
      <c r="B41" s="2" t="s">
        <v>21</v>
      </c>
      <c r="C41" s="2">
        <v>8</v>
      </c>
      <c r="D41" s="1"/>
      <c r="E41" s="1"/>
      <c r="F41" s="1"/>
      <c r="G41" s="1"/>
      <c r="H41" s="1"/>
      <c r="I41" s="1"/>
      <c r="J41" s="1">
        <v>2</v>
      </c>
      <c r="K41" s="1">
        <v>2</v>
      </c>
      <c r="L41" s="1">
        <v>2</v>
      </c>
      <c r="M41" s="4">
        <v>2</v>
      </c>
      <c r="N41" s="4">
        <v>3</v>
      </c>
      <c r="O41" s="4">
        <v>3</v>
      </c>
      <c r="P41" s="4"/>
      <c r="Q41" s="2"/>
      <c r="R41" s="2">
        <v>0.32569999999999999</v>
      </c>
      <c r="S41" s="2">
        <v>2.8199999999999999E-2</v>
      </c>
      <c r="T41" s="2">
        <v>2.3271000000000002</v>
      </c>
      <c r="U41" s="2">
        <v>0.1154</v>
      </c>
      <c r="V41" s="2">
        <f t="shared" si="13"/>
        <v>0</v>
      </c>
      <c r="W41" s="2">
        <f t="shared" si="10"/>
        <v>0</v>
      </c>
      <c r="X41" s="2">
        <f t="shared" si="11"/>
        <v>0.14360000000000001</v>
      </c>
      <c r="Y41" s="2">
        <f t="shared" si="12"/>
        <v>-45.821727019498589</v>
      </c>
    </row>
    <row r="42" spans="1:25" x14ac:dyDescent="0.3">
      <c r="A42" s="15"/>
      <c r="B42" s="2" t="s">
        <v>22</v>
      </c>
      <c r="C42" s="1">
        <f t="shared" ref="C42:O42" si="14">AVERAGE(C32:C41)</f>
        <v>7</v>
      </c>
      <c r="D42" s="1" t="e">
        <f t="shared" si="14"/>
        <v>#DIV/0!</v>
      </c>
      <c r="E42" s="1" t="e">
        <f t="shared" si="14"/>
        <v>#DIV/0!</v>
      </c>
      <c r="F42" s="1" t="e">
        <f t="shared" si="14"/>
        <v>#DIV/0!</v>
      </c>
      <c r="G42" s="1" t="e">
        <f t="shared" si="14"/>
        <v>#DIV/0!</v>
      </c>
      <c r="H42" s="1" t="e">
        <f t="shared" si="14"/>
        <v>#DIV/0!</v>
      </c>
      <c r="I42" s="1" t="e">
        <f t="shared" si="14"/>
        <v>#DIV/0!</v>
      </c>
      <c r="J42" s="1">
        <f t="shared" si="14"/>
        <v>2</v>
      </c>
      <c r="K42" s="1">
        <f t="shared" si="14"/>
        <v>2.2000000000000002</v>
      </c>
      <c r="L42" s="1">
        <f t="shared" si="14"/>
        <v>2.5</v>
      </c>
      <c r="M42" s="4">
        <f t="shared" si="14"/>
        <v>2.8</v>
      </c>
      <c r="N42" s="4">
        <f t="shared" si="14"/>
        <v>3.5</v>
      </c>
      <c r="O42" s="4">
        <f t="shared" si="14"/>
        <v>3.7</v>
      </c>
      <c r="P42" s="6">
        <f>AVERAGE(P32:P36)</f>
        <v>102.9348</v>
      </c>
      <c r="Q42" s="6">
        <f>AVERAGE(Q32:Q36)</f>
        <v>59.750800000000005</v>
      </c>
      <c r="R42" s="4">
        <f>AVERAGE(R32:R41)</f>
        <v>0.39334999999999998</v>
      </c>
      <c r="S42" s="1">
        <f>AVERAGE(S32:S41)</f>
        <v>5.9309999999999995E-2</v>
      </c>
      <c r="T42" s="1">
        <f>AVERAGE(T32:T41)</f>
        <v>2.6976100000000001</v>
      </c>
      <c r="U42" s="1">
        <f>AVERAGE(U32:U41)</f>
        <v>0.26447999999999999</v>
      </c>
      <c r="V42" s="12">
        <f>AVERAGE(V32:V36)</f>
        <v>1.3715605987522883E-2</v>
      </c>
      <c r="W42" s="12">
        <f>AVERAGE(W32:W36)</f>
        <v>8.9288243996473345E-3</v>
      </c>
      <c r="X42" s="1">
        <f>AVERAGE(X32:X41)</f>
        <v>0.32379000000000002</v>
      </c>
      <c r="Y42" s="1">
        <f>AVERAGE(Y32:Y41)</f>
        <v>17.853710690673125</v>
      </c>
    </row>
    <row r="44" spans="1:25" ht="14.4" customHeight="1" x14ac:dyDescent="0.3">
      <c r="A44" s="16" t="s">
        <v>0</v>
      </c>
      <c r="B44" s="17" t="s">
        <v>1</v>
      </c>
      <c r="C44" s="13" t="s">
        <v>2</v>
      </c>
      <c r="D44" s="21" t="s">
        <v>3</v>
      </c>
      <c r="E44" s="22"/>
      <c r="F44" s="22"/>
      <c r="G44" s="22"/>
      <c r="H44" s="22"/>
      <c r="I44" s="22"/>
      <c r="J44" s="21" t="s">
        <v>4</v>
      </c>
      <c r="K44" s="22"/>
      <c r="L44" s="22"/>
      <c r="M44" s="22"/>
      <c r="N44" s="22"/>
      <c r="O44" s="23"/>
      <c r="P44" s="24" t="s">
        <v>35</v>
      </c>
      <c r="Q44" s="19" t="s">
        <v>5</v>
      </c>
      <c r="R44" s="19" t="s">
        <v>27</v>
      </c>
      <c r="S44" s="19" t="s">
        <v>6</v>
      </c>
      <c r="T44" s="19" t="s">
        <v>28</v>
      </c>
      <c r="U44" s="19" t="s">
        <v>7</v>
      </c>
      <c r="V44" s="13" t="s">
        <v>45</v>
      </c>
      <c r="W44" s="13" t="s">
        <v>44</v>
      </c>
      <c r="X44" s="16" t="s">
        <v>33</v>
      </c>
    </row>
    <row r="45" spans="1:25" ht="14.4" customHeight="1" x14ac:dyDescent="0.3">
      <c r="A45" s="16"/>
      <c r="B45" s="18"/>
      <c r="C45" s="14"/>
      <c r="D45" s="1" t="s">
        <v>8</v>
      </c>
      <c r="E45" s="1" t="s">
        <v>9</v>
      </c>
      <c r="F45" s="1" t="s">
        <v>10</v>
      </c>
      <c r="G45" s="1" t="s">
        <v>11</v>
      </c>
      <c r="H45" s="1" t="s">
        <v>29</v>
      </c>
      <c r="I45" s="1" t="s">
        <v>30</v>
      </c>
      <c r="J45" s="1" t="s">
        <v>8</v>
      </c>
      <c r="K45" s="1" t="s">
        <v>9</v>
      </c>
      <c r="L45" s="1" t="s">
        <v>10</v>
      </c>
      <c r="M45" s="4" t="s">
        <v>11</v>
      </c>
      <c r="N45" s="4" t="s">
        <v>29</v>
      </c>
      <c r="O45" s="4" t="s">
        <v>30</v>
      </c>
      <c r="P45" s="25"/>
      <c r="Q45" s="19"/>
      <c r="R45" s="19"/>
      <c r="S45" s="19"/>
      <c r="T45" s="19"/>
      <c r="U45" s="19"/>
      <c r="V45" s="14"/>
      <c r="W45" s="14"/>
      <c r="X45" s="16"/>
    </row>
    <row r="46" spans="1:25" x14ac:dyDescent="0.3">
      <c r="A46" s="15" t="s">
        <v>34</v>
      </c>
      <c r="B46" s="2" t="s">
        <v>12</v>
      </c>
      <c r="C46" s="2"/>
      <c r="D46" s="1"/>
      <c r="E46" s="1"/>
      <c r="F46" s="1"/>
      <c r="G46" s="1"/>
      <c r="H46" s="1"/>
      <c r="I46" s="1"/>
      <c r="J46" s="1"/>
      <c r="K46" s="1"/>
      <c r="L46" s="1"/>
      <c r="M46" s="4"/>
      <c r="N46" s="4"/>
      <c r="O46" s="4"/>
      <c r="P46" s="9">
        <v>72.385000000000005</v>
      </c>
      <c r="Q46" s="9">
        <v>66.927999999999997</v>
      </c>
      <c r="R46" s="9">
        <v>0.34200000000000003</v>
      </c>
      <c r="S46" s="9">
        <v>3.1E-2</v>
      </c>
      <c r="T46" s="9">
        <v>0.88800000000000001</v>
      </c>
      <c r="U46" s="9">
        <v>0.21</v>
      </c>
      <c r="V46" s="2"/>
      <c r="W46" s="9"/>
      <c r="X46" s="9">
        <f>(S46+U46)</f>
        <v>0.24099999999999999</v>
      </c>
    </row>
    <row r="47" spans="1:25" x14ac:dyDescent="0.3">
      <c r="A47" s="15"/>
      <c r="B47" s="2" t="s">
        <v>13</v>
      </c>
      <c r="C47" s="2"/>
      <c r="D47" s="1"/>
      <c r="E47" s="1"/>
      <c r="F47" s="1"/>
      <c r="G47" s="1"/>
      <c r="H47" s="1"/>
      <c r="I47" s="1"/>
      <c r="J47" s="1"/>
      <c r="K47" s="1"/>
      <c r="L47" s="1"/>
      <c r="M47" s="4"/>
      <c r="N47" s="4"/>
      <c r="O47" s="4"/>
      <c r="P47" s="9">
        <v>77.963999999999999</v>
      </c>
      <c r="Q47" s="9">
        <v>69.457999999999998</v>
      </c>
      <c r="R47" s="9">
        <v>0.33500000000000002</v>
      </c>
      <c r="S47" s="9">
        <v>2.7E-2</v>
      </c>
      <c r="T47" s="9">
        <v>0.91</v>
      </c>
      <c r="U47" s="9">
        <v>0.22500000000000001</v>
      </c>
      <c r="V47" s="2"/>
      <c r="W47" s="9"/>
      <c r="X47" s="9">
        <f t="shared" ref="X47:X55" si="15">(S47+U47)</f>
        <v>0.252</v>
      </c>
    </row>
    <row r="48" spans="1:25" x14ac:dyDescent="0.3">
      <c r="A48" s="15"/>
      <c r="B48" s="2" t="s">
        <v>14</v>
      </c>
      <c r="C48" s="2"/>
      <c r="D48" s="1"/>
      <c r="E48" s="1"/>
      <c r="F48" s="1"/>
      <c r="G48" s="1"/>
      <c r="H48" s="1"/>
      <c r="I48" s="1"/>
      <c r="J48" s="1"/>
      <c r="K48" s="1"/>
      <c r="L48" s="1"/>
      <c r="M48" s="4"/>
      <c r="N48" s="4"/>
      <c r="O48" s="4"/>
      <c r="P48" s="9">
        <v>80.311999999999998</v>
      </c>
      <c r="Q48" s="9">
        <v>70.156999999999996</v>
      </c>
      <c r="R48" s="9">
        <v>0.40200000000000002</v>
      </c>
      <c r="S48" s="9">
        <v>3.5999999999999997E-2</v>
      </c>
      <c r="T48" s="9">
        <v>0.94199999999999995</v>
      </c>
      <c r="U48" s="9">
        <v>0.121</v>
      </c>
      <c r="V48" s="2"/>
      <c r="W48" s="9"/>
      <c r="X48" s="9">
        <f t="shared" si="15"/>
        <v>0.157</v>
      </c>
    </row>
    <row r="49" spans="1:24" x14ac:dyDescent="0.3">
      <c r="A49" s="15"/>
      <c r="B49" s="2" t="s">
        <v>15</v>
      </c>
      <c r="C49" s="2"/>
      <c r="D49" s="1"/>
      <c r="E49" s="1"/>
      <c r="F49" s="1"/>
      <c r="G49" s="1"/>
      <c r="H49" s="1"/>
      <c r="I49" s="1"/>
      <c r="J49" s="1"/>
      <c r="K49" s="1"/>
      <c r="L49" s="1"/>
      <c r="M49" s="4"/>
      <c r="N49" s="4"/>
      <c r="O49" s="4"/>
      <c r="P49" s="9">
        <v>74.671000000000006</v>
      </c>
      <c r="Q49" s="9">
        <v>67.62</v>
      </c>
      <c r="R49" s="9">
        <v>0.32100000000000001</v>
      </c>
      <c r="S49" s="9">
        <v>2.5000000000000001E-2</v>
      </c>
      <c r="T49" s="9">
        <v>0.89900000000000002</v>
      </c>
      <c r="U49" s="9">
        <v>0.218</v>
      </c>
      <c r="V49" s="2"/>
      <c r="W49" s="9"/>
      <c r="X49" s="9">
        <f t="shared" si="15"/>
        <v>0.24299999999999999</v>
      </c>
    </row>
    <row r="50" spans="1:24" x14ac:dyDescent="0.3">
      <c r="A50" s="15"/>
      <c r="B50" s="2" t="s">
        <v>16</v>
      </c>
      <c r="C50" s="2"/>
      <c r="D50" s="1"/>
      <c r="E50" s="1"/>
      <c r="F50" s="1"/>
      <c r="G50" s="1"/>
      <c r="H50" s="1"/>
      <c r="I50" s="1"/>
      <c r="J50" s="1"/>
      <c r="K50" s="1"/>
      <c r="L50" s="1"/>
      <c r="M50" s="4"/>
      <c r="N50" s="4"/>
      <c r="O50" s="4"/>
      <c r="P50" s="9">
        <v>69.915000000000006</v>
      </c>
      <c r="Q50" s="9">
        <v>60.432000000000002</v>
      </c>
      <c r="R50" s="9">
        <v>0.35499999999999998</v>
      </c>
      <c r="S50" s="9">
        <v>3.4000000000000002E-2</v>
      </c>
      <c r="T50" s="9">
        <v>0.88200000000000001</v>
      </c>
      <c r="U50" s="9">
        <v>0.12</v>
      </c>
      <c r="V50" s="2"/>
      <c r="W50" s="9"/>
      <c r="X50" s="9">
        <f t="shared" si="15"/>
        <v>0.154</v>
      </c>
    </row>
    <row r="51" spans="1:24" x14ac:dyDescent="0.3">
      <c r="A51" s="15"/>
      <c r="B51" s="2" t="s">
        <v>17</v>
      </c>
      <c r="C51" s="2"/>
      <c r="D51" s="1"/>
      <c r="E51" s="1"/>
      <c r="F51" s="1"/>
      <c r="G51" s="1"/>
      <c r="H51" s="1"/>
      <c r="I51" s="1"/>
      <c r="J51" s="1"/>
      <c r="K51" s="1"/>
      <c r="L51" s="1"/>
      <c r="M51" s="4"/>
      <c r="N51" s="4"/>
      <c r="O51" s="4"/>
      <c r="P51" s="9"/>
      <c r="Q51" s="9"/>
      <c r="R51" s="9">
        <v>0.40300000000000002</v>
      </c>
      <c r="S51" s="9">
        <v>3.2000000000000001E-2</v>
      </c>
      <c r="T51" s="9">
        <v>0.995</v>
      </c>
      <c r="U51" s="9">
        <v>0.246</v>
      </c>
      <c r="V51" s="2"/>
      <c r="W51" s="9"/>
      <c r="X51" s="9">
        <f t="shared" si="15"/>
        <v>0.27800000000000002</v>
      </c>
    </row>
    <row r="52" spans="1:24" x14ac:dyDescent="0.3">
      <c r="A52" s="15"/>
      <c r="B52" s="2" t="s">
        <v>18</v>
      </c>
      <c r="C52" s="2"/>
      <c r="D52" s="1"/>
      <c r="E52" s="1"/>
      <c r="F52" s="1"/>
      <c r="G52" s="1"/>
      <c r="H52" s="1"/>
      <c r="I52" s="1"/>
      <c r="J52" s="1"/>
      <c r="K52" s="1"/>
      <c r="L52" s="1"/>
      <c r="M52" s="4"/>
      <c r="N52" s="4"/>
      <c r="O52" s="4"/>
      <c r="P52" s="9"/>
      <c r="Q52" s="9"/>
      <c r="R52" s="9">
        <v>0.35799999999999998</v>
      </c>
      <c r="S52" s="9">
        <v>3.1E-2</v>
      </c>
      <c r="T52" s="9">
        <v>0.93600000000000005</v>
      </c>
      <c r="U52" s="9">
        <v>0.218</v>
      </c>
      <c r="V52" s="2"/>
      <c r="W52" s="9"/>
      <c r="X52" s="9">
        <f t="shared" si="15"/>
        <v>0.249</v>
      </c>
    </row>
    <row r="53" spans="1:24" x14ac:dyDescent="0.3">
      <c r="A53" s="15"/>
      <c r="B53" s="2" t="s">
        <v>19</v>
      </c>
      <c r="C53" s="2"/>
      <c r="D53" s="1"/>
      <c r="E53" s="1"/>
      <c r="F53" s="1"/>
      <c r="G53" s="1"/>
      <c r="H53" s="1"/>
      <c r="I53" s="1"/>
      <c r="J53" s="1"/>
      <c r="K53" s="1"/>
      <c r="L53" s="1"/>
      <c r="M53" s="4"/>
      <c r="N53" s="4"/>
      <c r="O53" s="4"/>
      <c r="P53" s="9"/>
      <c r="Q53" s="9"/>
      <c r="R53" s="9">
        <v>0.32900000000000001</v>
      </c>
      <c r="S53" s="9">
        <v>1.9E-2</v>
      </c>
      <c r="T53" s="9">
        <v>0.92100000000000004</v>
      </c>
      <c r="U53" s="9">
        <v>0.23</v>
      </c>
      <c r="V53" s="2"/>
      <c r="W53" s="9"/>
      <c r="X53" s="9">
        <f t="shared" si="15"/>
        <v>0.249</v>
      </c>
    </row>
    <row r="54" spans="1:24" x14ac:dyDescent="0.3">
      <c r="A54" s="15"/>
      <c r="B54" s="2" t="s">
        <v>20</v>
      </c>
      <c r="C54" s="2"/>
      <c r="D54" s="1"/>
      <c r="E54" s="1"/>
      <c r="F54" s="1"/>
      <c r="G54" s="1"/>
      <c r="H54" s="1"/>
      <c r="I54" s="1"/>
      <c r="J54" s="1"/>
      <c r="K54" s="1"/>
      <c r="L54" s="1"/>
      <c r="M54" s="4"/>
      <c r="N54" s="4"/>
      <c r="O54" s="4"/>
      <c r="P54" s="9"/>
      <c r="Q54" s="9"/>
      <c r="R54" s="9">
        <v>0.32600000000000001</v>
      </c>
      <c r="S54" s="9">
        <v>2.5000000000000001E-2</v>
      </c>
      <c r="T54" s="9">
        <v>0.877</v>
      </c>
      <c r="U54" s="9">
        <v>0.215</v>
      </c>
      <c r="V54" s="2"/>
      <c r="W54" s="9"/>
      <c r="X54" s="9">
        <f t="shared" si="15"/>
        <v>0.24</v>
      </c>
    </row>
    <row r="55" spans="1:24" x14ac:dyDescent="0.3">
      <c r="A55" s="15"/>
      <c r="B55" s="2" t="s">
        <v>21</v>
      </c>
      <c r="C55" s="2"/>
      <c r="D55" s="1"/>
      <c r="E55" s="1"/>
      <c r="F55" s="1"/>
      <c r="G55" s="1"/>
      <c r="H55" s="1"/>
      <c r="I55" s="1"/>
      <c r="J55" s="1"/>
      <c r="K55" s="1"/>
      <c r="L55" s="1"/>
      <c r="M55" s="4"/>
      <c r="N55" s="4"/>
      <c r="O55" s="4"/>
      <c r="P55" s="9"/>
      <c r="Q55" s="9"/>
      <c r="R55" s="9">
        <v>0.33200000000000002</v>
      </c>
      <c r="S55" s="9">
        <v>3.4000000000000002E-2</v>
      </c>
      <c r="T55" s="9">
        <v>0.92800000000000005</v>
      </c>
      <c r="U55" s="9">
        <v>0.22500000000000001</v>
      </c>
      <c r="V55" s="2"/>
      <c r="W55" s="9"/>
      <c r="X55" s="9">
        <f t="shared" si="15"/>
        <v>0.25900000000000001</v>
      </c>
    </row>
    <row r="56" spans="1:24" x14ac:dyDescent="0.3">
      <c r="A56" s="15"/>
      <c r="B56" s="2" t="s">
        <v>22</v>
      </c>
      <c r="C56" s="1" t="e">
        <f t="shared" ref="C56:F56" si="16">AVERAGE(C46:C55)</f>
        <v>#DIV/0!</v>
      </c>
      <c r="D56" s="1" t="e">
        <f t="shared" si="16"/>
        <v>#DIV/0!</v>
      </c>
      <c r="E56" s="1" t="e">
        <f t="shared" si="16"/>
        <v>#DIV/0!</v>
      </c>
      <c r="F56" s="1" t="e">
        <f t="shared" si="16"/>
        <v>#DIV/0!</v>
      </c>
      <c r="G56" s="1" t="e">
        <f>AVERAGE(G46:G55)</f>
        <v>#DIV/0!</v>
      </c>
      <c r="H56" s="1" t="e">
        <f>AVERAGE(H46:H55)</f>
        <v>#DIV/0!</v>
      </c>
      <c r="I56" s="1" t="e">
        <f t="shared" ref="I56:L56" si="17">AVERAGE(I46:I55)</f>
        <v>#DIV/0!</v>
      </c>
      <c r="J56" s="1" t="e">
        <f t="shared" si="17"/>
        <v>#DIV/0!</v>
      </c>
      <c r="K56" s="1" t="e">
        <f t="shared" si="17"/>
        <v>#DIV/0!</v>
      </c>
      <c r="L56" s="1" t="e">
        <f t="shared" si="17"/>
        <v>#DIV/0!</v>
      </c>
      <c r="M56" s="4" t="e">
        <f>AVERAGE(M46:M55)</f>
        <v>#DIV/0!</v>
      </c>
      <c r="N56" s="4" t="e">
        <f>AVERAGE(N46:N55)</f>
        <v>#DIV/0!</v>
      </c>
      <c r="O56" s="4" t="e">
        <f t="shared" ref="O56:R56" si="18">AVERAGE(O46:O55)</f>
        <v>#DIV/0!</v>
      </c>
      <c r="P56" s="4">
        <f t="shared" si="18"/>
        <v>75.049400000000006</v>
      </c>
      <c r="Q56" s="4">
        <f t="shared" si="18"/>
        <v>66.919000000000011</v>
      </c>
      <c r="R56" s="4">
        <f t="shared" si="18"/>
        <v>0.35030000000000006</v>
      </c>
      <c r="S56" s="4">
        <f>AVERAGE(S46:S55)</f>
        <v>2.9400000000000003E-2</v>
      </c>
      <c r="T56" s="4">
        <f>AVERAGE(T46:T55)</f>
        <v>0.91780000000000006</v>
      </c>
      <c r="U56" s="4">
        <f>AVERAGE(U46:U55)</f>
        <v>0.20280000000000001</v>
      </c>
      <c r="V56" s="4"/>
      <c r="W56" s="4"/>
      <c r="X56" s="1">
        <f>AVERAGE(X46:X50)</f>
        <v>0.20939999999999998</v>
      </c>
    </row>
  </sheetData>
  <mergeCells count="64">
    <mergeCell ref="C16:C17"/>
    <mergeCell ref="D16:I16"/>
    <mergeCell ref="Z2:Z3"/>
    <mergeCell ref="W44:W45"/>
    <mergeCell ref="W30:W31"/>
    <mergeCell ref="W16:W17"/>
    <mergeCell ref="W2:W3"/>
    <mergeCell ref="X44:X45"/>
    <mergeCell ref="X2:X3"/>
    <mergeCell ref="X16:X17"/>
    <mergeCell ref="X30:X31"/>
    <mergeCell ref="T44:T45"/>
    <mergeCell ref="U44:U45"/>
    <mergeCell ref="A46:A56"/>
    <mergeCell ref="P2:P3"/>
    <mergeCell ref="P16:P17"/>
    <mergeCell ref="P30:P31"/>
    <mergeCell ref="P44:P45"/>
    <mergeCell ref="A44:A45"/>
    <mergeCell ref="B44:B45"/>
    <mergeCell ref="C44:C45"/>
    <mergeCell ref="D44:I44"/>
    <mergeCell ref="J44:O44"/>
    <mergeCell ref="J2:O2"/>
    <mergeCell ref="J16:O16"/>
    <mergeCell ref="A16:A17"/>
    <mergeCell ref="B16:B17"/>
    <mergeCell ref="Q2:Q3"/>
    <mergeCell ref="R2:R3"/>
    <mergeCell ref="U2:U3"/>
    <mergeCell ref="T2:T3"/>
    <mergeCell ref="S2:S3"/>
    <mergeCell ref="A2:A3"/>
    <mergeCell ref="B2:B3"/>
    <mergeCell ref="C2:C3"/>
    <mergeCell ref="D2:I2"/>
    <mergeCell ref="Y30:Y31"/>
    <mergeCell ref="Y16:Y17"/>
    <mergeCell ref="Y2:Y3"/>
    <mergeCell ref="D30:I30"/>
    <mergeCell ref="J30:O30"/>
    <mergeCell ref="Q30:Q31"/>
    <mergeCell ref="R30:R31"/>
    <mergeCell ref="U30:U31"/>
    <mergeCell ref="S30:S31"/>
    <mergeCell ref="T30:T31"/>
    <mergeCell ref="A4:A14"/>
    <mergeCell ref="V2:V3"/>
    <mergeCell ref="V16:V17"/>
    <mergeCell ref="V30:V31"/>
    <mergeCell ref="V44:V45"/>
    <mergeCell ref="A32:A42"/>
    <mergeCell ref="A18:A28"/>
    <mergeCell ref="A30:A31"/>
    <mergeCell ref="B30:B31"/>
    <mergeCell ref="C30:C31"/>
    <mergeCell ref="T16:T17"/>
    <mergeCell ref="Q16:Q17"/>
    <mergeCell ref="R16:R17"/>
    <mergeCell ref="U16:U17"/>
    <mergeCell ref="S16:S17"/>
    <mergeCell ref="Q44:Q45"/>
    <mergeCell ref="R44:R45"/>
    <mergeCell ref="S44:S4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BANDEJAS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Revisor</dc:creator>
  <cp:keywords/>
  <dc:description/>
  <cp:lastModifiedBy>Diego Vidal Santos</cp:lastModifiedBy>
  <cp:revision/>
  <dcterms:created xsi:type="dcterms:W3CDTF">2014-02-03T18:25:59Z</dcterms:created>
  <dcterms:modified xsi:type="dcterms:W3CDTF">2025-04-09T02:35:11Z</dcterms:modified>
</cp:coreProperties>
</file>