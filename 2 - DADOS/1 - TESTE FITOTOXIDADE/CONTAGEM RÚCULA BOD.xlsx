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8c329cf2f6e6d0/Documentos/1 - ACADEMICO/1- UFS/2 - POS/2 - POS DOC/11 - DADOS/1 - TESTE FITOTOXIDADE/"/>
    </mc:Choice>
  </mc:AlternateContent>
  <xr:revisionPtr revIDLastSave="283" documentId="13_ncr:1_{E409C6F3-8BEA-4BCF-ACBE-062311556456}" xr6:coauthVersionLast="47" xr6:coauthVersionMax="47" xr10:uidLastSave="{0897914B-8ED4-46C8-B97A-276B1D19CC6A}"/>
  <bookViews>
    <workbookView xWindow="19095" yWindow="0" windowWidth="19410" windowHeight="15585" xr2:uid="{EBE191A7-2E49-4722-B7D7-611B45096AE2}"/>
  </bookViews>
  <sheets>
    <sheet name="Planilha1" sheetId="1" r:id="rId1"/>
  </sheets>
  <definedNames>
    <definedName name="_xlnm._FilterDatabase" localSheetId="0" hidden="1">Planilha1!$A$1:$H$252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72" i="1" l="1"/>
  <c r="J247" i="1"/>
  <c r="K247" i="1" s="1"/>
  <c r="J237" i="1"/>
  <c r="K237" i="1" s="1"/>
  <c r="J242" i="1"/>
  <c r="K242" i="1" s="1"/>
  <c r="J232" i="1"/>
  <c r="K232" i="1" s="1"/>
  <c r="J202" i="1"/>
  <c r="K202" i="1" s="1"/>
  <c r="J207" i="1"/>
  <c r="K207" i="1" s="1"/>
  <c r="J212" i="1"/>
  <c r="K212" i="1" s="1"/>
  <c r="J217" i="1"/>
  <c r="K217" i="1" s="1"/>
  <c r="J222" i="1"/>
  <c r="K222" i="1" s="1"/>
  <c r="J227" i="1"/>
  <c r="K227" i="1" s="1"/>
  <c r="J102" i="1"/>
  <c r="K102" i="1" s="1"/>
  <c r="J107" i="1"/>
  <c r="K107" i="1" s="1"/>
  <c r="J112" i="1"/>
  <c r="K112" i="1" s="1"/>
  <c r="J117" i="1"/>
  <c r="K117" i="1" s="1"/>
  <c r="J122" i="1"/>
  <c r="K122" i="1" s="1"/>
  <c r="J127" i="1"/>
  <c r="K127" i="1" s="1"/>
  <c r="J132" i="1"/>
  <c r="K132" i="1" s="1"/>
  <c r="J137" i="1"/>
  <c r="K137" i="1" s="1"/>
  <c r="J142" i="1"/>
  <c r="K142" i="1" s="1"/>
  <c r="J147" i="1"/>
  <c r="K147" i="1" s="1"/>
  <c r="J152" i="1"/>
  <c r="K152" i="1" s="1"/>
  <c r="J157" i="1"/>
  <c r="K157" i="1" s="1"/>
  <c r="J162" i="1"/>
  <c r="K162" i="1" s="1"/>
  <c r="J167" i="1"/>
  <c r="K167" i="1" s="1"/>
  <c r="J172" i="1"/>
  <c r="K172" i="1" s="1"/>
  <c r="J177" i="1"/>
  <c r="K177" i="1" s="1"/>
  <c r="J182" i="1"/>
  <c r="K182" i="1" s="1"/>
  <c r="J187" i="1"/>
  <c r="K187" i="1" s="1"/>
  <c r="J192" i="1"/>
  <c r="K192" i="1" s="1"/>
  <c r="J197" i="1"/>
  <c r="K197" i="1" s="1"/>
  <c r="J52" i="1"/>
  <c r="K52" i="1" s="1"/>
  <c r="J57" i="1"/>
  <c r="K57" i="1" s="1"/>
  <c r="J62" i="1"/>
  <c r="K62" i="1" s="1"/>
  <c r="J67" i="1"/>
  <c r="K67" i="1" s="1"/>
  <c r="J72" i="1"/>
  <c r="J77" i="1"/>
  <c r="K77" i="1" s="1"/>
  <c r="J82" i="1"/>
  <c r="K82" i="1" s="1"/>
  <c r="J87" i="1"/>
  <c r="K87" i="1" s="1"/>
  <c r="J92" i="1"/>
  <c r="K92" i="1" s="1"/>
  <c r="J97" i="1"/>
  <c r="K97" i="1" s="1"/>
  <c r="J27" i="1"/>
  <c r="K27" i="1" s="1"/>
  <c r="J32" i="1"/>
  <c r="K32" i="1" s="1"/>
  <c r="J37" i="1"/>
  <c r="K37" i="1" s="1"/>
  <c r="J42" i="1"/>
  <c r="K42" i="1" s="1"/>
  <c r="J47" i="1"/>
  <c r="K47" i="1" s="1"/>
  <c r="J22" i="1"/>
  <c r="K22" i="1" s="1"/>
  <c r="J17" i="1"/>
  <c r="K17" i="1" s="1"/>
  <c r="J7" i="1"/>
  <c r="K7" i="1" s="1"/>
  <c r="J12" i="1"/>
  <c r="K12" i="1" s="1"/>
  <c r="J2" i="1"/>
  <c r="K2" i="1" s="1"/>
  <c r="I37" i="1"/>
  <c r="I247" i="1"/>
  <c r="I212" i="1"/>
  <c r="I217" i="1"/>
  <c r="I222" i="1"/>
  <c r="I227" i="1"/>
  <c r="I232" i="1"/>
  <c r="I237" i="1"/>
  <c r="I242" i="1"/>
  <c r="I182" i="1"/>
  <c r="I187" i="1"/>
  <c r="I192" i="1"/>
  <c r="I197" i="1"/>
  <c r="I202" i="1"/>
  <c r="I207" i="1"/>
  <c r="I152" i="1"/>
  <c r="I157" i="1"/>
  <c r="I162" i="1"/>
  <c r="I167" i="1"/>
  <c r="I172" i="1"/>
  <c r="I177" i="1"/>
  <c r="I122" i="1"/>
  <c r="I127" i="1"/>
  <c r="I132" i="1"/>
  <c r="I137" i="1"/>
  <c r="I142" i="1"/>
  <c r="I147" i="1"/>
  <c r="I92" i="1"/>
  <c r="I97" i="1"/>
  <c r="I102" i="1"/>
  <c r="I107" i="1"/>
  <c r="I112" i="1"/>
  <c r="I117" i="1"/>
  <c r="I62" i="1"/>
  <c r="I67" i="1"/>
  <c r="I77" i="1"/>
  <c r="I82" i="1"/>
  <c r="I87" i="1"/>
  <c r="I32" i="1"/>
  <c r="I42" i="1"/>
  <c r="I47" i="1"/>
  <c r="I52" i="1"/>
  <c r="I57" i="1"/>
  <c r="I17" i="1"/>
  <c r="I22" i="1"/>
  <c r="I27" i="1"/>
  <c r="I12" i="1"/>
  <c r="I7" i="1"/>
  <c r="I2" i="1"/>
  <c r="G247" i="1"/>
  <c r="G242" i="1"/>
  <c r="G237" i="1"/>
  <c r="G232" i="1"/>
  <c r="G227" i="1"/>
  <c r="G222" i="1"/>
  <c r="G217" i="1"/>
  <c r="G212" i="1"/>
  <c r="G207" i="1"/>
  <c r="G202" i="1"/>
  <c r="G197" i="1"/>
  <c r="G192" i="1"/>
  <c r="G187" i="1"/>
  <c r="G182" i="1"/>
  <c r="G177" i="1"/>
  <c r="G152" i="1"/>
  <c r="G172" i="1"/>
  <c r="G167" i="1"/>
  <c r="G162" i="1"/>
  <c r="G157" i="1"/>
  <c r="G147" i="1"/>
  <c r="G142" i="1"/>
  <c r="G137" i="1"/>
  <c r="G132" i="1"/>
  <c r="G127" i="1"/>
  <c r="G122" i="1"/>
  <c r="G117" i="1"/>
  <c r="G112" i="1"/>
  <c r="G107" i="1"/>
  <c r="G102" i="1"/>
  <c r="G97" i="1"/>
  <c r="G92" i="1"/>
  <c r="G87" i="1"/>
  <c r="G82" i="1"/>
  <c r="G77" i="1"/>
  <c r="G72" i="1"/>
  <c r="G67" i="1"/>
  <c r="G62" i="1"/>
  <c r="G57" i="1"/>
  <c r="G52" i="1"/>
  <c r="G47" i="1"/>
  <c r="G42" i="1"/>
  <c r="G37" i="1"/>
  <c r="G32" i="1"/>
  <c r="G27" i="1"/>
  <c r="G22" i="1"/>
  <c r="G17" i="1"/>
  <c r="G12" i="1"/>
  <c r="G7" i="1"/>
  <c r="G2" i="1"/>
  <c r="F222" i="1" a="1"/>
  <c r="F222" i="1" s="1"/>
  <c r="F217" i="1" a="1"/>
  <c r="F217" i="1" s="1"/>
  <c r="F212" i="1" a="1"/>
  <c r="F212" i="1" s="1"/>
  <c r="F207" i="1" a="1"/>
  <c r="F207" i="1" s="1"/>
  <c r="F202" i="1" a="1"/>
  <c r="F202" i="1" s="1"/>
  <c r="F197" i="1" a="1"/>
  <c r="F197" i="1" s="1"/>
  <c r="F192" i="1" a="1"/>
  <c r="F192" i="1" s="1"/>
  <c r="F187" i="1" a="1"/>
  <c r="F187" i="1" s="1"/>
  <c r="F182" i="1" a="1"/>
  <c r="F182" i="1" s="1"/>
  <c r="F177" i="1" a="1"/>
  <c r="F177" i="1" s="1"/>
  <c r="F172" i="1" a="1"/>
  <c r="F172" i="1" s="1"/>
  <c r="F167" i="1" a="1"/>
  <c r="F167" i="1" s="1"/>
  <c r="F162" i="1" a="1"/>
  <c r="F162" i="1" s="1"/>
  <c r="F157" i="1" a="1"/>
  <c r="F157" i="1" s="1"/>
  <c r="F152" i="1" a="1"/>
  <c r="F152" i="1" s="1"/>
  <c r="F147" i="1" a="1"/>
  <c r="F147" i="1" s="1"/>
  <c r="F142" i="1" a="1"/>
  <c r="F142" i="1" s="1"/>
  <c r="F137" i="1" a="1"/>
  <c r="F137" i="1" s="1"/>
  <c r="F132" i="1" a="1"/>
  <c r="F132" i="1" s="1"/>
  <c r="F127" i="1" a="1"/>
  <c r="F127" i="1" s="1"/>
  <c r="F122" i="1" a="1"/>
  <c r="F122" i="1" s="1"/>
  <c r="F117" i="1" a="1"/>
  <c r="F117" i="1" s="1"/>
  <c r="F112" i="1" a="1"/>
  <c r="F112" i="1" s="1"/>
  <c r="F107" i="1" a="1"/>
  <c r="F107" i="1" s="1"/>
  <c r="F102" i="1" a="1"/>
  <c r="F102" i="1" s="1"/>
  <c r="F97" i="1" a="1"/>
  <c r="F97" i="1" s="1"/>
  <c r="F92" i="1" a="1"/>
  <c r="F92" i="1" s="1"/>
  <c r="F87" i="1" a="1"/>
  <c r="F87" i="1" s="1"/>
  <c r="F82" i="1" a="1"/>
  <c r="F82" i="1" s="1"/>
  <c r="F77" i="1" a="1"/>
  <c r="F77" i="1" s="1"/>
  <c r="F72" i="1" a="1"/>
  <c r="F72" i="1" s="1"/>
  <c r="F67" i="1" a="1"/>
  <c r="F67" i="1" s="1"/>
  <c r="F62" i="1" a="1"/>
  <c r="F62" i="1" s="1"/>
  <c r="F57" i="1" a="1"/>
  <c r="F57" i="1" s="1"/>
  <c r="F52" i="1" a="1"/>
  <c r="F52" i="1" s="1"/>
  <c r="F47" i="1" a="1"/>
  <c r="F47" i="1" s="1"/>
  <c r="F42" i="1" a="1"/>
  <c r="F42" i="1" s="1"/>
  <c r="F37" i="1" a="1"/>
  <c r="F37" i="1" s="1"/>
  <c r="F32" i="1" a="1"/>
  <c r="F32" i="1" s="1"/>
  <c r="F27" i="1" a="1"/>
  <c r="F27" i="1" s="1"/>
  <c r="F22" i="1" a="1"/>
  <c r="F22" i="1" s="1"/>
  <c r="F17" i="1" a="1"/>
  <c r="F17" i="1" s="1"/>
  <c r="F12" i="1" a="1"/>
  <c r="F12" i="1" s="1"/>
  <c r="F7" i="1" a="1"/>
  <c r="F7" i="1" s="1"/>
  <c r="F2" i="1" a="1"/>
  <c r="F2" i="1" s="1"/>
  <c r="F227" i="1" a="1"/>
  <c r="F227" i="1" s="1"/>
  <c r="F232" i="1" a="1"/>
  <c r="F232" i="1" s="1"/>
  <c r="F237" i="1" a="1"/>
  <c r="F237" i="1" s="1"/>
  <c r="F242" i="1" a="1"/>
  <c r="F242" i="1" s="1"/>
  <c r="F247" i="1" a="1"/>
  <c r="F247" i="1" s="1"/>
  <c r="E162" i="1" a="1"/>
  <c r="E162" i="1" s="1"/>
  <c r="E167" i="1" a="1"/>
  <c r="E167" i="1" s="1"/>
  <c r="E172" i="1" a="1"/>
  <c r="E172" i="1" s="1"/>
  <c r="E177" i="1" a="1"/>
  <c r="E177" i="1" s="1"/>
  <c r="E182" i="1" a="1"/>
  <c r="E182" i="1" s="1"/>
  <c r="E187" i="1" a="1"/>
  <c r="E187" i="1" s="1"/>
  <c r="E192" i="1" a="1"/>
  <c r="E192" i="1" s="1"/>
  <c r="E197" i="1" a="1"/>
  <c r="E197" i="1" s="1"/>
  <c r="E202" i="1" a="1"/>
  <c r="E202" i="1" s="1"/>
  <c r="E207" i="1" a="1"/>
  <c r="E207" i="1" s="1"/>
  <c r="E212" i="1" a="1"/>
  <c r="E212" i="1" s="1"/>
  <c r="E217" i="1" a="1"/>
  <c r="E217" i="1" s="1"/>
  <c r="E222" i="1" a="1"/>
  <c r="E222" i="1" s="1"/>
  <c r="E227" i="1" a="1"/>
  <c r="E227" i="1" s="1"/>
  <c r="E232" i="1" a="1"/>
  <c r="E232" i="1" s="1"/>
  <c r="E237" i="1" a="1"/>
  <c r="E237" i="1" s="1"/>
  <c r="E242" i="1" a="1"/>
  <c r="E242" i="1" s="1"/>
  <c r="E247" i="1" a="1"/>
  <c r="E247" i="1" s="1"/>
  <c r="E82" i="1" a="1"/>
  <c r="E82" i="1" s="1"/>
  <c r="E87" i="1" a="1"/>
  <c r="E87" i="1" s="1"/>
  <c r="E92" i="1" a="1"/>
  <c r="E92" i="1" s="1"/>
  <c r="E97" i="1" a="1"/>
  <c r="E97" i="1" s="1"/>
  <c r="E102" i="1" a="1"/>
  <c r="E102" i="1" s="1"/>
  <c r="E107" i="1" a="1"/>
  <c r="E107" i="1" s="1"/>
  <c r="E112" i="1" a="1"/>
  <c r="E112" i="1" s="1"/>
  <c r="E117" i="1" a="1"/>
  <c r="E117" i="1" s="1"/>
  <c r="E122" i="1" a="1"/>
  <c r="E122" i="1" s="1"/>
  <c r="E127" i="1" a="1"/>
  <c r="E127" i="1" s="1"/>
  <c r="E132" i="1" a="1"/>
  <c r="E132" i="1" s="1"/>
  <c r="E137" i="1" a="1"/>
  <c r="E137" i="1" s="1"/>
  <c r="E142" i="1" a="1"/>
  <c r="E142" i="1" s="1"/>
  <c r="E147" i="1" a="1"/>
  <c r="E147" i="1" s="1"/>
  <c r="E152" i="1" a="1"/>
  <c r="E152" i="1" s="1"/>
  <c r="E157" i="1" a="1"/>
  <c r="E157" i="1" s="1"/>
  <c r="E42" i="1" a="1"/>
  <c r="E42" i="1" s="1"/>
  <c r="E47" i="1" a="1"/>
  <c r="E47" i="1" s="1"/>
  <c r="E52" i="1" a="1"/>
  <c r="E52" i="1" s="1"/>
  <c r="E57" i="1" a="1"/>
  <c r="E57" i="1" s="1"/>
  <c r="E62" i="1" a="1"/>
  <c r="E62" i="1" s="1"/>
  <c r="E67" i="1" a="1"/>
  <c r="E67" i="1" s="1"/>
  <c r="E72" i="1" a="1"/>
  <c r="E72" i="1" s="1"/>
  <c r="E77" i="1" a="1"/>
  <c r="E77" i="1" s="1"/>
  <c r="E22" i="1" a="1"/>
  <c r="E22" i="1" s="1"/>
  <c r="E27" i="1" a="1"/>
  <c r="E27" i="1" s="1"/>
  <c r="E32" i="1" a="1"/>
  <c r="E32" i="1" s="1"/>
  <c r="E37" i="1" a="1"/>
  <c r="E37" i="1" s="1"/>
  <c r="E12" i="1" a="1"/>
  <c r="E12" i="1" s="1"/>
  <c r="E17" i="1" a="1"/>
  <c r="E17" i="1" s="1"/>
  <c r="E7" i="1" a="1"/>
  <c r="E7" i="1" s="1"/>
  <c r="E2" i="1" a="1"/>
  <c r="E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<sst xmlns="http://schemas.openxmlformats.org/spreadsheetml/2006/main" count="536" uniqueCount="44">
  <si>
    <t>PURA</t>
  </si>
  <si>
    <t>I</t>
  </si>
  <si>
    <t>II</t>
  </si>
  <si>
    <t>III</t>
  </si>
  <si>
    <t>IV</t>
  </si>
  <si>
    <t>V</t>
  </si>
  <si>
    <t xml:space="preserve">CONTAGEM DE PLANTULAS NA B.O.D </t>
  </si>
  <si>
    <t xml:space="preserve">I </t>
  </si>
  <si>
    <t>SOLV+RESI</t>
  </si>
  <si>
    <t>SEM SOLVENTE</t>
  </si>
  <si>
    <t xml:space="preserve">FOLHA </t>
  </si>
  <si>
    <t xml:space="preserve">ÁGUA DESTILADA </t>
  </si>
  <si>
    <t>REPETIÇÃO</t>
  </si>
  <si>
    <t xml:space="preserve">QUANTIDADE </t>
  </si>
  <si>
    <t>DIAS</t>
  </si>
  <si>
    <t>IVG</t>
  </si>
  <si>
    <t>TMG</t>
  </si>
  <si>
    <t>G%</t>
  </si>
  <si>
    <t>Núcleo</t>
  </si>
  <si>
    <t>hidrorretentor</t>
  </si>
  <si>
    <r>
      <t>N</t>
    </r>
    <r>
      <rPr>
        <vertAlign val="subscript"/>
        <sz val="12"/>
        <color theme="1"/>
        <rFont val="Aptos Narrow"/>
        <family val="2"/>
      </rPr>
      <t xml:space="preserve">1 </t>
    </r>
    <r>
      <rPr>
        <sz val="12"/>
        <color theme="1"/>
        <rFont val="Aptos Narrow"/>
        <family val="2"/>
      </rPr>
      <t>(formulação completa) (SOlV+RESI)</t>
    </r>
  </si>
  <si>
    <r>
      <t>98,00a</t>
    </r>
    <r>
      <rPr>
        <vertAlign val="superscript"/>
        <sz val="12"/>
        <color theme="1"/>
        <rFont val="Aptos Narrow"/>
        <family val="2"/>
      </rPr>
      <t>(1.054)</t>
    </r>
  </si>
  <si>
    <r>
      <t>2.045</t>
    </r>
    <r>
      <rPr>
        <vertAlign val="superscript"/>
        <sz val="12"/>
        <color theme="1"/>
        <rFont val="Aptos Narrow"/>
        <family val="2"/>
      </rPr>
      <t>(1.517)</t>
    </r>
  </si>
  <si>
    <r>
      <t>2.045a</t>
    </r>
    <r>
      <rPr>
        <vertAlign val="superscript"/>
        <sz val="12"/>
        <color theme="1"/>
        <rFont val="Aptos Narrow"/>
        <family val="2"/>
      </rPr>
      <t>(0.022)</t>
    </r>
  </si>
  <si>
    <r>
      <t>N</t>
    </r>
    <r>
      <rPr>
        <vertAlign val="subscript"/>
        <sz val="12"/>
        <color theme="1"/>
        <rFont val="Aptos Narrow"/>
        <family val="2"/>
      </rPr>
      <t xml:space="preserve">2 </t>
    </r>
    <r>
      <rPr>
        <sz val="12"/>
        <color theme="1"/>
        <rFont val="Aptos Narrow"/>
        <family val="2"/>
      </rPr>
      <t>(sem resina) (PURA)</t>
    </r>
  </si>
  <si>
    <r>
      <t>91,00c</t>
    </r>
    <r>
      <rPr>
        <vertAlign val="superscript"/>
        <sz val="12"/>
        <color theme="1"/>
        <rFont val="Aptos Narrow"/>
        <family val="2"/>
      </rPr>
      <t>(1.885)</t>
    </r>
  </si>
  <si>
    <r>
      <t>1.899</t>
    </r>
    <r>
      <rPr>
        <vertAlign val="superscript"/>
        <sz val="12"/>
        <color theme="1"/>
        <rFont val="Aptos Narrow"/>
        <family val="2"/>
      </rPr>
      <t>(1.282)</t>
    </r>
  </si>
  <si>
    <r>
      <t>1.899c</t>
    </r>
    <r>
      <rPr>
        <vertAlign val="superscript"/>
        <sz val="12"/>
        <color theme="1"/>
        <rFont val="Aptos Narrow"/>
        <family val="2"/>
      </rPr>
      <t>(0.393)</t>
    </r>
  </si>
  <si>
    <r>
      <t>N</t>
    </r>
    <r>
      <rPr>
        <vertAlign val="subscript"/>
        <sz val="12"/>
        <color theme="1"/>
        <rFont val="Aptos Narrow"/>
        <family val="2"/>
      </rPr>
      <t xml:space="preserve">3 </t>
    </r>
    <r>
      <rPr>
        <sz val="12"/>
        <color theme="1"/>
        <rFont val="Aptos Narrow"/>
        <family val="2"/>
      </rPr>
      <t>(resíduos vegetais) (Folha)</t>
    </r>
  </si>
  <si>
    <r>
      <t>95,30b</t>
    </r>
    <r>
      <rPr>
        <vertAlign val="superscript"/>
        <sz val="12"/>
        <color theme="1"/>
        <rFont val="Aptos Narrow"/>
        <family val="2"/>
      </rPr>
      <t>(1.059)</t>
    </r>
  </si>
  <si>
    <r>
      <t>2.002</t>
    </r>
    <r>
      <rPr>
        <vertAlign val="superscript"/>
        <sz val="12"/>
        <color theme="1"/>
        <rFont val="Aptos Narrow"/>
        <family val="2"/>
      </rPr>
      <t>(1.430)</t>
    </r>
  </si>
  <si>
    <r>
      <t>1.989b</t>
    </r>
    <r>
      <rPr>
        <vertAlign val="superscript"/>
        <sz val="12"/>
        <color theme="1"/>
        <rFont val="Aptos Narrow"/>
        <family val="2"/>
      </rPr>
      <t>(0.221)</t>
    </r>
  </si>
  <si>
    <r>
      <t>N</t>
    </r>
    <r>
      <rPr>
        <vertAlign val="subscript"/>
        <sz val="12"/>
        <color theme="1"/>
        <rFont val="Aptos Narrow"/>
        <family val="2"/>
      </rPr>
      <t xml:space="preserve">4 </t>
    </r>
    <r>
      <rPr>
        <sz val="12"/>
        <color theme="1"/>
        <rFont val="Aptos Narrow"/>
        <family val="2"/>
      </rPr>
      <t>(resíduos e fibras) (SEM solvente)</t>
    </r>
  </si>
  <si>
    <r>
      <t>95,90b</t>
    </r>
    <r>
      <rPr>
        <vertAlign val="superscript"/>
        <sz val="12"/>
        <color theme="1"/>
        <rFont val="Aptos Narrow"/>
        <family val="2"/>
      </rPr>
      <t>(0.994)</t>
    </r>
  </si>
  <si>
    <r>
      <t>1.989</t>
    </r>
    <r>
      <rPr>
        <vertAlign val="superscript"/>
        <sz val="12"/>
        <color theme="1"/>
        <rFont val="Aptos Narrow"/>
        <family val="2"/>
      </rPr>
      <t>(1.335)</t>
    </r>
  </si>
  <si>
    <r>
      <t>2.002b</t>
    </r>
    <r>
      <rPr>
        <vertAlign val="superscript"/>
        <sz val="12"/>
        <color theme="1"/>
        <rFont val="Aptos Narrow"/>
        <family val="2"/>
      </rPr>
      <t>(0.020)</t>
    </r>
  </si>
  <si>
    <t>Controle (água destilada)</t>
  </si>
  <si>
    <r>
      <t>92,00c</t>
    </r>
    <r>
      <rPr>
        <vertAlign val="superscript"/>
        <sz val="12"/>
        <color theme="1"/>
        <rFont val="Aptos Narrow"/>
        <family val="2"/>
      </rPr>
      <t>(2.458)</t>
    </r>
  </si>
  <si>
    <r>
      <t>1.933</t>
    </r>
    <r>
      <rPr>
        <vertAlign val="superscript"/>
        <sz val="12"/>
        <color theme="1"/>
        <rFont val="Aptos Narrow"/>
        <family val="2"/>
      </rPr>
      <t>(1.365)</t>
    </r>
  </si>
  <si>
    <r>
      <t>1.933c</t>
    </r>
    <r>
      <rPr>
        <vertAlign val="superscript"/>
        <sz val="12"/>
        <color theme="1"/>
        <rFont val="Aptos Narrow"/>
        <family val="2"/>
      </rPr>
      <t>(0.513)</t>
    </r>
  </si>
  <si>
    <t>HORAS</t>
  </si>
  <si>
    <t>Média germinação</t>
  </si>
  <si>
    <t>DP</t>
  </si>
  <si>
    <t>intervalo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</si>
</sst>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</font>
    <font>
      <b/>
      <sz val="12"/>
      <color rgb="FF000000"/>
      <name val="Aptos Narrow"/>
      <family val="2"/>
    </font>
    <font>
      <sz val="12"/>
      <color theme="1"/>
      <name val="Aptos Narrow"/>
      <family val="2"/>
    </font>
    <font>
      <vertAlign val="subscript"/>
      <sz val="12"/>
      <color theme="1"/>
      <name val="Aptos Narrow"/>
      <family val="2"/>
    </font>
    <font>
      <vertAlign val="superscript"/>
      <sz val="12"/>
      <color theme="1"/>
      <name val="Aptos Narrow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">
    <xf numFmtId="0" fontId="0" fillId="0" borderId="0" xfId="0"/>
    <xf numFmtId="164" fontId="0" fillId="0" borderId="0" xfId="0" applyNumberFormat="1"/>
    <xf numFmtId="0" fontId="0" fillId="0" borderId="0" xfId="1" applyNumberFormat="1" applyFont="1"/>
    <xf numFmtId="164" fontId="0" fillId="0" borderId="0" xfId="1" applyNumberFormat="1" applyFont="1"/>
    <xf numFmtId="0" fontId="2" fillId="0" borderId="2" xfId="0" applyFont="1" applyBorder="1" applyAlignment="1">
      <alignment horizontal="justify" vertical="center"/>
    </xf>
    <xf numFmtId="0" fontId="2" fillId="0" borderId="3" xfId="0" applyFont="1" applyBorder="1" applyAlignment="1">
      <alignment horizontal="justify" vertical="center"/>
    </xf>
    <xf numFmtId="0" fontId="3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3" xfId="0" applyFont="1" applyBorder="1" applyAlignment="1">
      <alignment horizontal="left" vertical="center"/>
    </xf>
    <xf numFmtId="0" fontId="4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1D465-15AF-495E-A76D-3368E349485B}">
  <sheetPr filterMode="1"/>
  <dimension ref="A1:Q252"/>
  <sheetViews>
    <sheetView tabSelected="1" zoomScale="70" zoomScaleNormal="70" workbookViewId="0">
      <selection activeCell="Q26" sqref="Q26"/>
    </sheetView>
  </sheetViews>
  <sheetFormatPr defaultRowHeight="15" x14ac:dyDescent="0.25"/>
  <cols>
    <col min="1" max="1" width="31.85546875" bestFit="1" customWidth="1"/>
    <col min="2" max="2" width="10.5703125" bestFit="1" customWidth="1"/>
    <col min="3" max="3" width="13.140625" bestFit="1" customWidth="1"/>
    <col min="6" max="6" width="8.85546875" style="2"/>
    <col min="10" max="10" width="8.42578125" bestFit="1" customWidth="1"/>
    <col min="14" max="14" width="19.140625" customWidth="1"/>
  </cols>
  <sheetData>
    <row r="1" spans="1:17" x14ac:dyDescent="0.25">
      <c r="A1" t="s">
        <v>6</v>
      </c>
      <c r="B1" t="s">
        <v>12</v>
      </c>
      <c r="C1" t="s">
        <v>13</v>
      </c>
      <c r="D1" t="s">
        <v>14</v>
      </c>
      <c r="E1" t="s">
        <v>15</v>
      </c>
      <c r="F1" s="2" t="s">
        <v>16</v>
      </c>
      <c r="G1" s="2" t="s">
        <v>17</v>
      </c>
      <c r="H1" t="s">
        <v>40</v>
      </c>
      <c r="I1" t="s">
        <v>41</v>
      </c>
      <c r="J1" t="s">
        <v>42</v>
      </c>
      <c r="K1" t="s">
        <v>43</v>
      </c>
    </row>
    <row r="2" spans="1:17" hidden="1" x14ac:dyDescent="0.25">
      <c r="A2" t="s">
        <v>0</v>
      </c>
      <c r="B2" t="s">
        <v>7</v>
      </c>
      <c r="C2">
        <v>16</v>
      </c>
      <c r="D2">
        <v>2</v>
      </c>
      <c r="E2" s="1" cm="1">
        <f t="array" ref="E2">SUM(C2/C2:D6)/SUM(D2:D6)</f>
        <v>4.463976608187135</v>
      </c>
      <c r="F2" s="3" cm="1">
        <f t="array" ref="F2">SUM(C2:C6*10)/(SUM($C$227:$C$251))</f>
        <v>1.8162839248434237</v>
      </c>
      <c r="G2" s="3">
        <f>(SUM(C2:C6)/100)*100</f>
        <v>87</v>
      </c>
      <c r="H2">
        <v>48</v>
      </c>
      <c r="I2">
        <f>AVERAGE(C2:C6)</f>
        <v>17.399999999999999</v>
      </c>
      <c r="J2">
        <f>_xlfn.STDEV.S(C2:C6)</f>
        <v>1.8165902124584952</v>
      </c>
      <c r="K2">
        <f>_xlfn.CONFIDENCE.NORM(0.05,J2,5)</f>
        <v>1.5922822682106716</v>
      </c>
    </row>
    <row r="3" spans="1:17" hidden="1" x14ac:dyDescent="0.25">
      <c r="A3" t="s">
        <v>0</v>
      </c>
      <c r="B3" t="s">
        <v>2</v>
      </c>
      <c r="C3">
        <v>18</v>
      </c>
      <c r="D3">
        <v>2</v>
      </c>
      <c r="E3" s="1"/>
      <c r="F3" s="3"/>
      <c r="G3" s="1"/>
      <c r="H3">
        <v>48</v>
      </c>
    </row>
    <row r="4" spans="1:17" hidden="1" x14ac:dyDescent="0.25">
      <c r="A4" t="s">
        <v>0</v>
      </c>
      <c r="B4" t="s">
        <v>3</v>
      </c>
      <c r="C4">
        <v>19</v>
      </c>
      <c r="D4">
        <v>2</v>
      </c>
      <c r="E4" s="1"/>
      <c r="F4" s="3"/>
      <c r="G4" s="1"/>
      <c r="H4">
        <v>48</v>
      </c>
    </row>
    <row r="5" spans="1:17" hidden="1" x14ac:dyDescent="0.25">
      <c r="A5" t="s">
        <v>0</v>
      </c>
      <c r="B5" t="s">
        <v>4</v>
      </c>
      <c r="C5">
        <v>15</v>
      </c>
      <c r="D5">
        <v>2</v>
      </c>
      <c r="E5" s="1"/>
      <c r="F5" s="3"/>
      <c r="G5" s="1"/>
      <c r="H5">
        <v>48</v>
      </c>
    </row>
    <row r="6" spans="1:17" ht="16.5" hidden="1" thickBot="1" x14ac:dyDescent="0.3">
      <c r="A6" t="s">
        <v>0</v>
      </c>
      <c r="B6" t="s">
        <v>5</v>
      </c>
      <c r="C6">
        <v>19</v>
      </c>
      <c r="D6">
        <v>2</v>
      </c>
      <c r="E6" s="1"/>
      <c r="F6" s="3"/>
      <c r="G6" s="1"/>
      <c r="H6">
        <v>48</v>
      </c>
      <c r="N6" s="4" t="s">
        <v>18</v>
      </c>
      <c r="O6" s="11"/>
      <c r="P6" s="11"/>
      <c r="Q6" s="11"/>
    </row>
    <row r="7" spans="1:17" ht="16.5" hidden="1" thickBot="1" x14ac:dyDescent="0.3">
      <c r="A7" t="s">
        <v>8</v>
      </c>
      <c r="B7" t="s">
        <v>1</v>
      </c>
      <c r="C7">
        <v>19</v>
      </c>
      <c r="D7">
        <v>2</v>
      </c>
      <c r="E7" s="1" cm="1">
        <f t="array" ref="E7">SUM(C7/C7:D11)/SUM(D7:D11)</f>
        <v>5.2455555555555557</v>
      </c>
      <c r="F7" s="3" cm="1">
        <f t="array" ref="F7">SUM(C7:C11*10)/(SUM($C$227:$C$251))</f>
        <v>2.0041753653444676</v>
      </c>
      <c r="G7" s="3">
        <f>(SUM(C7:C11)/100)*100</f>
        <v>96</v>
      </c>
      <c r="H7">
        <v>48</v>
      </c>
      <c r="I7">
        <f>AVERAGE(C7:C11)</f>
        <v>19.2</v>
      </c>
      <c r="J7">
        <f>_xlfn.STDEV.S(C7:C11)</f>
        <v>0.83666002653407556</v>
      </c>
      <c r="K7">
        <f>_xlfn.CONFIDENCE.NORM(0.05,J7,5)</f>
        <v>0.73335137205651779</v>
      </c>
      <c r="N7" s="5" t="s">
        <v>19</v>
      </c>
      <c r="O7" s="6" t="s">
        <v>17</v>
      </c>
      <c r="P7" s="6" t="s">
        <v>15</v>
      </c>
      <c r="Q7" s="6" t="s">
        <v>16</v>
      </c>
    </row>
    <row r="8" spans="1:17" ht="18.75" hidden="1" x14ac:dyDescent="0.25">
      <c r="A8" t="s">
        <v>8</v>
      </c>
      <c r="B8" t="s">
        <v>2</v>
      </c>
      <c r="C8">
        <v>20</v>
      </c>
      <c r="D8">
        <v>2</v>
      </c>
      <c r="E8" s="1"/>
      <c r="F8" s="3"/>
      <c r="G8" s="1"/>
      <c r="H8">
        <v>48</v>
      </c>
      <c r="N8" s="7" t="s">
        <v>20</v>
      </c>
      <c r="O8" s="8" t="s">
        <v>21</v>
      </c>
      <c r="P8" s="8" t="s">
        <v>22</v>
      </c>
      <c r="Q8" s="8" t="s">
        <v>23</v>
      </c>
    </row>
    <row r="9" spans="1:17" ht="18.75" hidden="1" x14ac:dyDescent="0.25">
      <c r="A9" t="s">
        <v>8</v>
      </c>
      <c r="B9" t="s">
        <v>3</v>
      </c>
      <c r="C9">
        <v>18</v>
      </c>
      <c r="D9">
        <v>2</v>
      </c>
      <c r="E9" s="1"/>
      <c r="F9" s="3"/>
      <c r="G9" s="1"/>
      <c r="H9">
        <v>48</v>
      </c>
      <c r="N9" s="7" t="s">
        <v>24</v>
      </c>
      <c r="O9" s="8" t="s">
        <v>25</v>
      </c>
      <c r="P9" s="8" t="s">
        <v>26</v>
      </c>
      <c r="Q9" s="8" t="s">
        <v>27</v>
      </c>
    </row>
    <row r="10" spans="1:17" ht="18.75" hidden="1" x14ac:dyDescent="0.25">
      <c r="A10" t="s">
        <v>8</v>
      </c>
      <c r="B10" t="s">
        <v>4</v>
      </c>
      <c r="C10">
        <v>20</v>
      </c>
      <c r="D10">
        <v>2</v>
      </c>
      <c r="E10" s="1"/>
      <c r="F10" s="3"/>
      <c r="G10" s="1"/>
      <c r="H10">
        <v>48</v>
      </c>
      <c r="N10" s="7" t="s">
        <v>28</v>
      </c>
      <c r="O10" s="8" t="s">
        <v>29</v>
      </c>
      <c r="P10" s="8" t="s">
        <v>30</v>
      </c>
      <c r="Q10" s="8" t="s">
        <v>31</v>
      </c>
    </row>
    <row r="11" spans="1:17" ht="18.75" hidden="1" x14ac:dyDescent="0.25">
      <c r="A11" t="s">
        <v>8</v>
      </c>
      <c r="B11" t="s">
        <v>5</v>
      </c>
      <c r="C11">
        <v>19</v>
      </c>
      <c r="D11">
        <v>2</v>
      </c>
      <c r="E11" s="1"/>
      <c r="F11" s="3"/>
      <c r="G11" s="1"/>
      <c r="H11">
        <v>48</v>
      </c>
      <c r="N11" s="7" t="s">
        <v>32</v>
      </c>
      <c r="O11" s="8" t="s">
        <v>33</v>
      </c>
      <c r="P11" s="8" t="s">
        <v>34</v>
      </c>
      <c r="Q11" s="8" t="s">
        <v>35</v>
      </c>
    </row>
    <row r="12" spans="1:17" ht="18.75" hidden="1" thickBot="1" x14ac:dyDescent="0.3">
      <c r="A12" t="s">
        <v>9</v>
      </c>
      <c r="B12" t="s">
        <v>1</v>
      </c>
      <c r="C12">
        <v>17</v>
      </c>
      <c r="D12">
        <v>2</v>
      </c>
      <c r="E12" s="1" cm="1">
        <f t="array" ref="E12">SUM(C12/C12:D16)/SUM(D12:D16)</f>
        <v>4.7034210526315787</v>
      </c>
      <c r="F12" s="3" cm="1">
        <f t="array" ref="F12">SUM(C12:C16*10)/(SUM($C$227:$C$251))</f>
        <v>1.9624217118997913</v>
      </c>
      <c r="G12" s="3">
        <f>(SUM(C12:C16)/100)*100</f>
        <v>94</v>
      </c>
      <c r="H12">
        <v>48</v>
      </c>
      <c r="I12">
        <f>AVERAGE(C12:C16)</f>
        <v>18.8</v>
      </c>
      <c r="J12">
        <f>_xlfn.STDEV.S(C12:C16)</f>
        <v>1.0954451150103324</v>
      </c>
      <c r="K12">
        <f>_xlfn.CONFIDENCE.NORM(0.05,J12,5)</f>
        <v>0.96018233527106178</v>
      </c>
      <c r="N12" s="9" t="s">
        <v>36</v>
      </c>
      <c r="O12" s="10" t="s">
        <v>37</v>
      </c>
      <c r="P12" s="10" t="s">
        <v>38</v>
      </c>
      <c r="Q12" s="10" t="s">
        <v>39</v>
      </c>
    </row>
    <row r="13" spans="1:17" hidden="1" x14ac:dyDescent="0.25">
      <c r="A13" t="s">
        <v>9</v>
      </c>
      <c r="B13" t="s">
        <v>2</v>
      </c>
      <c r="C13">
        <v>19</v>
      </c>
      <c r="D13">
        <v>2</v>
      </c>
      <c r="E13" s="1"/>
      <c r="F13" s="3"/>
      <c r="G13" s="1"/>
      <c r="H13">
        <v>48</v>
      </c>
    </row>
    <row r="14" spans="1:17" hidden="1" x14ac:dyDescent="0.25">
      <c r="A14" t="s">
        <v>9</v>
      </c>
      <c r="B14" t="s">
        <v>3</v>
      </c>
      <c r="C14">
        <v>20</v>
      </c>
      <c r="D14">
        <v>2</v>
      </c>
      <c r="E14" s="1"/>
      <c r="F14" s="3"/>
      <c r="G14" s="1"/>
      <c r="H14">
        <v>48</v>
      </c>
    </row>
    <row r="15" spans="1:17" hidden="1" x14ac:dyDescent="0.25">
      <c r="A15" t="s">
        <v>9</v>
      </c>
      <c r="B15" t="s">
        <v>4</v>
      </c>
      <c r="C15">
        <v>19</v>
      </c>
      <c r="D15">
        <v>2</v>
      </c>
      <c r="E15" s="1"/>
      <c r="F15" s="3"/>
      <c r="G15" s="1"/>
      <c r="H15">
        <v>48</v>
      </c>
    </row>
    <row r="16" spans="1:17" hidden="1" x14ac:dyDescent="0.25">
      <c r="A16" t="s">
        <v>9</v>
      </c>
      <c r="B16" t="s">
        <v>5</v>
      </c>
      <c r="C16">
        <v>19</v>
      </c>
      <c r="D16">
        <v>2</v>
      </c>
      <c r="E16" s="1"/>
      <c r="F16" s="3"/>
      <c r="G16" s="1"/>
      <c r="H16">
        <v>48</v>
      </c>
    </row>
    <row r="17" spans="1:17" hidden="1" x14ac:dyDescent="0.25">
      <c r="A17" t="s">
        <v>10</v>
      </c>
      <c r="B17" t="s">
        <v>1</v>
      </c>
      <c r="C17">
        <v>18</v>
      </c>
      <c r="D17">
        <v>2</v>
      </c>
      <c r="E17" s="1" cm="1">
        <f t="array" ref="E17">SUM(C17/C17:D21)/SUM(D17:D21)</f>
        <v>4.9847368421052627</v>
      </c>
      <c r="F17" s="3" cm="1">
        <f t="array" ref="F17">SUM(C17:C21*10)/(SUM($C$227:$C$251))</f>
        <v>1.9415448851774531</v>
      </c>
      <c r="G17" s="3">
        <f>(SUM(C17:C21)/100)*100</f>
        <v>93</v>
      </c>
      <c r="H17">
        <v>48</v>
      </c>
      <c r="I17">
        <f>AVERAGE(C17:C21)</f>
        <v>18.600000000000001</v>
      </c>
      <c r="J17">
        <f>_xlfn.STDEV.S(C17:C21)</f>
        <v>0.89442719099991586</v>
      </c>
      <c r="K17">
        <f>_xlfn.CONFIDENCE.NORM(0.05,J17,5)</f>
        <v>0.7839855938160214</v>
      </c>
    </row>
    <row r="18" spans="1:17" hidden="1" x14ac:dyDescent="0.25">
      <c r="A18" t="s">
        <v>10</v>
      </c>
      <c r="B18" t="s">
        <v>2</v>
      </c>
      <c r="C18">
        <v>19</v>
      </c>
      <c r="D18">
        <v>2</v>
      </c>
      <c r="E18" s="1"/>
      <c r="F18" s="3"/>
      <c r="G18" s="1"/>
      <c r="H18">
        <v>48</v>
      </c>
    </row>
    <row r="19" spans="1:17" hidden="1" x14ac:dyDescent="0.25">
      <c r="A19" t="s">
        <v>10</v>
      </c>
      <c r="B19" t="s">
        <v>3</v>
      </c>
      <c r="C19">
        <v>20</v>
      </c>
      <c r="D19">
        <v>2</v>
      </c>
      <c r="E19" s="1"/>
      <c r="F19" s="3"/>
      <c r="G19" s="1"/>
      <c r="H19">
        <v>48</v>
      </c>
    </row>
    <row r="20" spans="1:17" hidden="1" x14ac:dyDescent="0.25">
      <c r="A20" t="s">
        <v>10</v>
      </c>
      <c r="B20" t="s">
        <v>4</v>
      </c>
      <c r="C20">
        <v>18</v>
      </c>
      <c r="D20">
        <v>2</v>
      </c>
      <c r="E20" s="1"/>
      <c r="F20" s="3"/>
      <c r="G20" s="1"/>
      <c r="H20">
        <v>48</v>
      </c>
    </row>
    <row r="21" spans="1:17" hidden="1" x14ac:dyDescent="0.25">
      <c r="A21" t="s">
        <v>10</v>
      </c>
      <c r="B21" t="s">
        <v>5</v>
      </c>
      <c r="C21">
        <v>18</v>
      </c>
      <c r="D21">
        <v>2</v>
      </c>
      <c r="E21" s="1"/>
      <c r="F21" s="3"/>
      <c r="G21" s="1"/>
      <c r="H21">
        <v>48</v>
      </c>
    </row>
    <row r="22" spans="1:17" x14ac:dyDescent="0.25">
      <c r="A22" t="s">
        <v>11</v>
      </c>
      <c r="B22" t="s">
        <v>1</v>
      </c>
      <c r="C22">
        <v>17</v>
      </c>
      <c r="D22">
        <v>2</v>
      </c>
      <c r="E22" s="1" cm="1">
        <f t="array" ref="E22">SUM(C22/C22:D26)/SUM(D22:D26)</f>
        <v>4.7427777777777775</v>
      </c>
      <c r="F22" s="3" cm="1">
        <f t="array" ref="F22">SUM(C22:C26*10)/(SUM($C$227:$C$251))</f>
        <v>1.8162839248434237</v>
      </c>
      <c r="G22" s="3">
        <f>(SUM(C22:C26)/100)*100</f>
        <v>87</v>
      </c>
      <c r="H22">
        <v>48</v>
      </c>
      <c r="I22">
        <f>AVERAGE(C22:C26)</f>
        <v>17.399999999999999</v>
      </c>
      <c r="J22">
        <f>_xlfn.STDEV.S(C22:C26)</f>
        <v>1.8165902124584952</v>
      </c>
      <c r="K22">
        <f>_xlfn.CONFIDENCE.NORM(0.05,J22,5)</f>
        <v>1.5922822682106716</v>
      </c>
    </row>
    <row r="23" spans="1:17" x14ac:dyDescent="0.25">
      <c r="A23" t="s">
        <v>11</v>
      </c>
      <c r="B23" t="s">
        <v>2</v>
      </c>
      <c r="C23">
        <v>18</v>
      </c>
      <c r="D23">
        <v>2</v>
      </c>
      <c r="E23" s="1"/>
      <c r="F23" s="3"/>
      <c r="G23" s="1"/>
      <c r="H23">
        <v>48</v>
      </c>
    </row>
    <row r="24" spans="1:17" x14ac:dyDescent="0.25">
      <c r="A24" t="s">
        <v>11</v>
      </c>
      <c r="B24" t="s">
        <v>3</v>
      </c>
      <c r="C24">
        <v>17</v>
      </c>
      <c r="D24">
        <v>2</v>
      </c>
      <c r="E24" s="1"/>
      <c r="F24" s="3"/>
      <c r="G24" s="1"/>
      <c r="H24">
        <v>48</v>
      </c>
    </row>
    <row r="25" spans="1:17" x14ac:dyDescent="0.25">
      <c r="A25" t="s">
        <v>11</v>
      </c>
      <c r="B25" t="s">
        <v>4</v>
      </c>
      <c r="C25">
        <v>20</v>
      </c>
      <c r="D25">
        <v>2</v>
      </c>
      <c r="E25" s="1"/>
      <c r="F25" s="3"/>
      <c r="G25" s="1"/>
      <c r="H25">
        <v>48</v>
      </c>
    </row>
    <row r="26" spans="1:17" x14ac:dyDescent="0.25">
      <c r="A26" t="s">
        <v>11</v>
      </c>
      <c r="B26" t="s">
        <v>5</v>
      </c>
      <c r="C26">
        <v>15</v>
      </c>
      <c r="D26">
        <v>2</v>
      </c>
      <c r="E26" s="1"/>
      <c r="F26" s="3"/>
      <c r="G26" s="1"/>
      <c r="H26">
        <v>48</v>
      </c>
      <c r="Q26">
        <v>1.5922799999999999</v>
      </c>
    </row>
    <row r="27" spans="1:17" ht="15" hidden="1" customHeight="1" x14ac:dyDescent="0.25">
      <c r="A27" t="s">
        <v>0</v>
      </c>
      <c r="B27" t="s">
        <v>7</v>
      </c>
      <c r="C27">
        <v>16</v>
      </c>
      <c r="D27">
        <v>3</v>
      </c>
      <c r="E27" s="1" cm="1">
        <f t="array" ref="E27">SUM(C27/C27:D31)/SUM(D27:D31)</f>
        <v>2.0767251461988301</v>
      </c>
      <c r="F27" s="3" cm="1">
        <f t="array" ref="F27">SUM(C27:C31*10)/(SUM($C$227:$C$251))</f>
        <v>1.8789144050104385</v>
      </c>
      <c r="G27" s="3">
        <f>(SUM(C27:C31)/100)*100</f>
        <v>90</v>
      </c>
      <c r="H27">
        <v>72</v>
      </c>
      <c r="I27">
        <f>AVERAGE(C27:C31)</f>
        <v>18</v>
      </c>
      <c r="J27">
        <f>_xlfn.STDEV.S(C27:C31)</f>
        <v>1.8708286933869707</v>
      </c>
      <c r="K27">
        <f>_xlfn.CONFIDENCE.NORM(0.05,J27,5)</f>
        <v>1.6398235193111135</v>
      </c>
      <c r="Q27">
        <v>1.6398200000000001</v>
      </c>
    </row>
    <row r="28" spans="1:17" ht="15" hidden="1" customHeight="1" x14ac:dyDescent="0.25">
      <c r="A28" t="s">
        <v>0</v>
      </c>
      <c r="B28" t="s">
        <v>2</v>
      </c>
      <c r="C28">
        <v>19</v>
      </c>
      <c r="D28">
        <v>3</v>
      </c>
      <c r="E28" s="1"/>
      <c r="F28" s="3"/>
      <c r="G28" s="1"/>
      <c r="H28">
        <v>72</v>
      </c>
      <c r="Q28">
        <v>1.6398200000000001</v>
      </c>
    </row>
    <row r="29" spans="1:17" ht="15" hidden="1" customHeight="1" x14ac:dyDescent="0.25">
      <c r="A29" t="s">
        <v>0</v>
      </c>
      <c r="B29" t="s">
        <v>3</v>
      </c>
      <c r="C29">
        <v>20</v>
      </c>
      <c r="D29">
        <v>3</v>
      </c>
      <c r="E29" s="1"/>
      <c r="F29" s="3"/>
      <c r="G29" s="1"/>
      <c r="H29">
        <v>72</v>
      </c>
      <c r="Q29">
        <v>1.6398200000000001</v>
      </c>
    </row>
    <row r="30" spans="1:17" ht="15" hidden="1" customHeight="1" x14ac:dyDescent="0.25">
      <c r="A30" t="s">
        <v>0</v>
      </c>
      <c r="B30" t="s">
        <v>4</v>
      </c>
      <c r="C30">
        <v>16</v>
      </c>
      <c r="D30">
        <v>3</v>
      </c>
      <c r="E30" s="1"/>
      <c r="F30" s="3"/>
      <c r="G30" s="1"/>
      <c r="H30">
        <v>72</v>
      </c>
      <c r="Q30">
        <v>1.4402699999999999</v>
      </c>
    </row>
    <row r="31" spans="1:17" ht="15" hidden="1" customHeight="1" x14ac:dyDescent="0.25">
      <c r="A31" t="s">
        <v>0</v>
      </c>
      <c r="B31" t="s">
        <v>5</v>
      </c>
      <c r="C31">
        <v>19</v>
      </c>
      <c r="D31">
        <v>3</v>
      </c>
      <c r="E31" s="1"/>
      <c r="F31" s="3"/>
      <c r="G31" s="1"/>
      <c r="H31">
        <v>72</v>
      </c>
      <c r="Q31">
        <v>1.4402699999999999</v>
      </c>
    </row>
    <row r="32" spans="1:17" ht="15" hidden="1" customHeight="1" x14ac:dyDescent="0.25">
      <c r="A32" t="s">
        <v>8</v>
      </c>
      <c r="B32" t="s">
        <v>1</v>
      </c>
      <c r="C32">
        <v>20</v>
      </c>
      <c r="D32">
        <v>3</v>
      </c>
      <c r="E32" s="1" cm="1">
        <f t="array" ref="E32">SUM(C32/C32:D36)/SUM(D32:D36)</f>
        <v>2.5664717348927879</v>
      </c>
      <c r="F32" s="3" cm="1">
        <f t="array" ref="F32">SUM(C32:C36*10)/(SUM($C$227:$C$251))</f>
        <v>2.0250521920668056</v>
      </c>
      <c r="G32" s="3">
        <f>(SUM(C32:C36)/100)*100</f>
        <v>97</v>
      </c>
      <c r="H32">
        <v>72</v>
      </c>
      <c r="I32">
        <f>AVERAGE(C32:C36)</f>
        <v>19.399999999999999</v>
      </c>
      <c r="J32">
        <f>_xlfn.STDEV.S(C32:C36)</f>
        <v>0.89442719099991586</v>
      </c>
      <c r="K32">
        <f>_xlfn.CONFIDENCE.NORM(0.05,J32,5)</f>
        <v>0.7839855938160214</v>
      </c>
      <c r="Q32">
        <v>1.17598</v>
      </c>
    </row>
    <row r="33" spans="1:17" ht="15" hidden="1" customHeight="1" x14ac:dyDescent="0.25">
      <c r="A33" t="s">
        <v>8</v>
      </c>
      <c r="B33" t="s">
        <v>2</v>
      </c>
      <c r="C33">
        <v>20</v>
      </c>
      <c r="D33">
        <v>3</v>
      </c>
      <c r="E33" s="1"/>
      <c r="F33" s="3"/>
      <c r="G33" s="1"/>
      <c r="H33">
        <v>72</v>
      </c>
      <c r="Q33">
        <v>0.99939</v>
      </c>
    </row>
    <row r="34" spans="1:17" ht="15" hidden="1" customHeight="1" x14ac:dyDescent="0.25">
      <c r="A34" t="s">
        <v>8</v>
      </c>
      <c r="B34" t="s">
        <v>3</v>
      </c>
      <c r="C34">
        <v>18</v>
      </c>
      <c r="D34">
        <v>3</v>
      </c>
      <c r="E34" s="1"/>
      <c r="F34" s="3"/>
      <c r="G34" s="1"/>
      <c r="H34">
        <v>72</v>
      </c>
      <c r="Q34">
        <v>0.99939</v>
      </c>
    </row>
    <row r="35" spans="1:17" hidden="1" x14ac:dyDescent="0.25">
      <c r="A35" t="s">
        <v>8</v>
      </c>
      <c r="B35" t="s">
        <v>4</v>
      </c>
      <c r="C35">
        <v>20</v>
      </c>
      <c r="D35">
        <v>3</v>
      </c>
      <c r="E35" s="1"/>
      <c r="F35" s="3"/>
      <c r="G35" s="1"/>
      <c r="H35">
        <v>72</v>
      </c>
    </row>
    <row r="36" spans="1:17" hidden="1" x14ac:dyDescent="0.25">
      <c r="A36" t="s">
        <v>8</v>
      </c>
      <c r="B36" t="s">
        <v>5</v>
      </c>
      <c r="C36">
        <v>19</v>
      </c>
      <c r="D36">
        <v>3</v>
      </c>
      <c r="E36" s="1"/>
      <c r="F36" s="3"/>
      <c r="G36" s="1"/>
      <c r="H36">
        <v>72</v>
      </c>
    </row>
    <row r="37" spans="1:17" hidden="1" x14ac:dyDescent="0.25">
      <c r="A37" t="s">
        <v>9</v>
      </c>
      <c r="B37" t="s">
        <v>1</v>
      </c>
      <c r="C37">
        <v>18</v>
      </c>
      <c r="D37">
        <v>3</v>
      </c>
      <c r="E37" s="1" cm="1">
        <f t="array" ref="E37">SUM(C37/C37:D41)/SUM(D37:D41)</f>
        <v>2.3161403508771929</v>
      </c>
      <c r="F37" s="3" cm="1">
        <f t="array" ref="F37">SUM(C37:C41*10)/(SUM($C$227:$C$251))</f>
        <v>1.9832985386221293</v>
      </c>
      <c r="G37" s="3">
        <f>(SUM(C37:C41)/100)*100</f>
        <v>95</v>
      </c>
      <c r="H37">
        <v>72</v>
      </c>
      <c r="I37">
        <f>AVERAGE(C37:C41)</f>
        <v>19</v>
      </c>
      <c r="J37">
        <f>_xlfn.STDEV.S(C37:C41)</f>
        <v>0.70710678118654757</v>
      </c>
      <c r="K37">
        <f>_xlfn.CONFIDENCE.NORM(0.05,J37,5)</f>
        <v>0.61979503230456146</v>
      </c>
    </row>
    <row r="38" spans="1:17" hidden="1" x14ac:dyDescent="0.25">
      <c r="A38" t="s">
        <v>9</v>
      </c>
      <c r="B38" t="s">
        <v>2</v>
      </c>
      <c r="C38">
        <v>19</v>
      </c>
      <c r="D38">
        <v>3</v>
      </c>
      <c r="E38" s="1"/>
      <c r="F38" s="3"/>
      <c r="G38" s="1"/>
      <c r="H38">
        <v>72</v>
      </c>
    </row>
    <row r="39" spans="1:17" hidden="1" x14ac:dyDescent="0.25">
      <c r="A39" t="s">
        <v>9</v>
      </c>
      <c r="B39" t="s">
        <v>3</v>
      </c>
      <c r="C39">
        <v>20</v>
      </c>
      <c r="D39">
        <v>3</v>
      </c>
      <c r="E39" s="1"/>
      <c r="F39" s="3"/>
      <c r="G39" s="1"/>
      <c r="H39">
        <v>72</v>
      </c>
    </row>
    <row r="40" spans="1:17" hidden="1" x14ac:dyDescent="0.25">
      <c r="A40" t="s">
        <v>9</v>
      </c>
      <c r="B40" t="s">
        <v>4</v>
      </c>
      <c r="C40">
        <v>19</v>
      </c>
      <c r="D40">
        <v>3</v>
      </c>
      <c r="E40" s="1"/>
      <c r="F40" s="3"/>
      <c r="G40" s="1"/>
      <c r="H40">
        <v>72</v>
      </c>
    </row>
    <row r="41" spans="1:17" hidden="1" x14ac:dyDescent="0.25">
      <c r="A41" t="s">
        <v>9</v>
      </c>
      <c r="B41" t="s">
        <v>5</v>
      </c>
      <c r="C41">
        <v>19</v>
      </c>
      <c r="D41">
        <v>3</v>
      </c>
      <c r="E41" s="1"/>
      <c r="F41" s="3"/>
      <c r="G41" s="1"/>
      <c r="H41">
        <v>72</v>
      </c>
    </row>
    <row r="42" spans="1:17" hidden="1" x14ac:dyDescent="0.25">
      <c r="A42" t="s">
        <v>10</v>
      </c>
      <c r="B42" t="s">
        <v>1</v>
      </c>
      <c r="C42">
        <v>18</v>
      </c>
      <c r="D42">
        <v>3</v>
      </c>
      <c r="E42" s="1" cm="1">
        <f t="array" ref="E42">SUM(C42/C42:D46)/SUM(D42:D46)</f>
        <v>2.3196491228070175</v>
      </c>
      <c r="F42" s="3" cm="1">
        <f t="array" ref="F42">SUM(C42:C46*10)/(SUM($C$227:$C$251))</f>
        <v>1.9624217118997913</v>
      </c>
      <c r="G42" s="3">
        <f>(SUM(C42:C46)/100)*100</f>
        <v>94</v>
      </c>
      <c r="H42">
        <v>72</v>
      </c>
      <c r="I42">
        <f>AVERAGE(C42:C46)</f>
        <v>18.8</v>
      </c>
      <c r="J42">
        <f>_xlfn.STDEV.S(C42:C46)</f>
        <v>0.83666002653407556</v>
      </c>
      <c r="K42">
        <f>_xlfn.CONFIDENCE.NORM(0.05,J42,5)</f>
        <v>0.73335137205651779</v>
      </c>
    </row>
    <row r="43" spans="1:17" hidden="1" x14ac:dyDescent="0.25">
      <c r="A43" t="s">
        <v>10</v>
      </c>
      <c r="B43" t="s">
        <v>2</v>
      </c>
      <c r="C43">
        <v>19</v>
      </c>
      <c r="D43">
        <v>3</v>
      </c>
      <c r="E43" s="1"/>
      <c r="F43" s="3"/>
      <c r="G43" s="1"/>
      <c r="H43">
        <v>72</v>
      </c>
    </row>
    <row r="44" spans="1:17" hidden="1" x14ac:dyDescent="0.25">
      <c r="A44" t="s">
        <v>10</v>
      </c>
      <c r="B44" t="s">
        <v>3</v>
      </c>
      <c r="C44">
        <v>20</v>
      </c>
      <c r="D44">
        <v>3</v>
      </c>
      <c r="E44" s="1"/>
      <c r="F44" s="3"/>
      <c r="G44" s="1"/>
      <c r="H44">
        <v>72</v>
      </c>
    </row>
    <row r="45" spans="1:17" hidden="1" x14ac:dyDescent="0.25">
      <c r="A45" t="s">
        <v>10</v>
      </c>
      <c r="B45" t="s">
        <v>4</v>
      </c>
      <c r="C45">
        <v>18</v>
      </c>
      <c r="D45">
        <v>3</v>
      </c>
      <c r="E45" s="1"/>
      <c r="F45" s="3"/>
      <c r="G45" s="1"/>
      <c r="H45">
        <v>72</v>
      </c>
    </row>
    <row r="46" spans="1:17" hidden="1" x14ac:dyDescent="0.25">
      <c r="A46" t="s">
        <v>10</v>
      </c>
      <c r="B46" t="s">
        <v>5</v>
      </c>
      <c r="C46">
        <v>19</v>
      </c>
      <c r="D46">
        <v>3</v>
      </c>
      <c r="E46" s="1"/>
      <c r="F46" s="3"/>
      <c r="G46" s="1"/>
      <c r="H46">
        <v>72</v>
      </c>
    </row>
    <row r="47" spans="1:17" x14ac:dyDescent="0.25">
      <c r="A47" t="s">
        <v>11</v>
      </c>
      <c r="B47" t="s">
        <v>1</v>
      </c>
      <c r="C47">
        <v>17</v>
      </c>
      <c r="D47">
        <v>3</v>
      </c>
      <c r="E47" s="1" cm="1">
        <f t="array" ref="E47">SUM(C47/C47:D51)/SUM(D47:D51)</f>
        <v>2.2074074074074077</v>
      </c>
      <c r="F47" s="3" cm="1">
        <f t="array" ref="F47">SUM(C47:C51*10)/(SUM($C$227:$C$251))</f>
        <v>1.8789144050104385</v>
      </c>
      <c r="G47" s="3">
        <f>(SUM(C47:C51)/100)*100</f>
        <v>90</v>
      </c>
      <c r="H47">
        <v>72</v>
      </c>
      <c r="I47">
        <f>AVERAGE(C47:C51)</f>
        <v>18</v>
      </c>
      <c r="J47">
        <f>_xlfn.STDEV.S(C47:C51)</f>
        <v>2.1213203435596424</v>
      </c>
      <c r="K47">
        <f>_xlfn.CONFIDENCE.NORM(0.05,J47,5)</f>
        <v>1.859385096913684</v>
      </c>
    </row>
    <row r="48" spans="1:17" x14ac:dyDescent="0.25">
      <c r="A48" t="s">
        <v>11</v>
      </c>
      <c r="B48" t="s">
        <v>2</v>
      </c>
      <c r="C48">
        <v>18</v>
      </c>
      <c r="D48">
        <v>3</v>
      </c>
      <c r="E48" s="1"/>
      <c r="F48" s="3"/>
      <c r="G48" s="1"/>
      <c r="H48">
        <v>72</v>
      </c>
    </row>
    <row r="49" spans="1:11" x14ac:dyDescent="0.25">
      <c r="A49" t="s">
        <v>11</v>
      </c>
      <c r="B49" t="s">
        <v>3</v>
      </c>
      <c r="C49">
        <v>20</v>
      </c>
      <c r="D49">
        <v>3</v>
      </c>
      <c r="E49" s="1"/>
      <c r="F49" s="3"/>
      <c r="G49" s="1"/>
      <c r="H49">
        <v>72</v>
      </c>
    </row>
    <row r="50" spans="1:11" x14ac:dyDescent="0.25">
      <c r="A50" t="s">
        <v>11</v>
      </c>
      <c r="B50" t="s">
        <v>4</v>
      </c>
      <c r="C50">
        <v>20</v>
      </c>
      <c r="D50">
        <v>3</v>
      </c>
      <c r="E50" s="1"/>
      <c r="F50" s="3"/>
      <c r="G50" s="1"/>
      <c r="H50">
        <v>72</v>
      </c>
    </row>
    <row r="51" spans="1:11" x14ac:dyDescent="0.25">
      <c r="A51" t="s">
        <v>11</v>
      </c>
      <c r="B51" t="s">
        <v>5</v>
      </c>
      <c r="C51">
        <v>15</v>
      </c>
      <c r="D51">
        <v>3</v>
      </c>
      <c r="E51" s="1"/>
      <c r="F51" s="3"/>
      <c r="G51" s="1"/>
      <c r="H51">
        <v>72</v>
      </c>
    </row>
    <row r="52" spans="1:11" hidden="1" x14ac:dyDescent="0.25">
      <c r="A52" t="s">
        <v>0</v>
      </c>
      <c r="B52" t="s">
        <v>7</v>
      </c>
      <c r="C52">
        <v>16</v>
      </c>
      <c r="D52">
        <v>4</v>
      </c>
      <c r="E52" s="1" cm="1">
        <f t="array" ref="E52">SUM(C52/C52:D56)/SUM(D52:D56)</f>
        <v>1.2242105263157894</v>
      </c>
      <c r="F52" s="3" cm="1">
        <f t="array" ref="F52">SUM(C52:C56*10)/(SUM($C$227:$C$251))</f>
        <v>1.8789144050104385</v>
      </c>
      <c r="G52" s="3">
        <f>(SUM(C52:C56)/100)*100</f>
        <v>90</v>
      </c>
      <c r="H52">
        <v>96</v>
      </c>
      <c r="I52">
        <f>AVERAGE(C52:C56)</f>
        <v>18</v>
      </c>
      <c r="J52">
        <f>_xlfn.STDEV.S(C52:C56)</f>
        <v>1.8708286933869707</v>
      </c>
      <c r="K52">
        <f>_xlfn.CONFIDENCE.NORM(0.05,J52,5)</f>
        <v>1.6398235193111135</v>
      </c>
    </row>
    <row r="53" spans="1:11" hidden="1" x14ac:dyDescent="0.25">
      <c r="A53" t="s">
        <v>0</v>
      </c>
      <c r="B53" t="s">
        <v>2</v>
      </c>
      <c r="C53">
        <v>19</v>
      </c>
      <c r="D53">
        <v>4</v>
      </c>
      <c r="E53" s="1"/>
      <c r="F53" s="3"/>
      <c r="G53" s="1"/>
      <c r="H53">
        <v>96</v>
      </c>
    </row>
    <row r="54" spans="1:11" hidden="1" x14ac:dyDescent="0.25">
      <c r="A54" t="s">
        <v>0</v>
      </c>
      <c r="B54" t="s">
        <v>3</v>
      </c>
      <c r="C54">
        <v>20</v>
      </c>
      <c r="D54">
        <v>4</v>
      </c>
      <c r="E54" s="1"/>
      <c r="F54" s="3"/>
      <c r="G54" s="1"/>
      <c r="H54">
        <v>96</v>
      </c>
    </row>
    <row r="55" spans="1:11" hidden="1" x14ac:dyDescent="0.25">
      <c r="A55" t="s">
        <v>0</v>
      </c>
      <c r="B55" t="s">
        <v>4</v>
      </c>
      <c r="C55">
        <v>16</v>
      </c>
      <c r="D55">
        <v>4</v>
      </c>
      <c r="E55" s="1"/>
      <c r="F55" s="3"/>
      <c r="G55" s="1"/>
      <c r="H55">
        <v>96</v>
      </c>
    </row>
    <row r="56" spans="1:11" hidden="1" x14ac:dyDescent="0.25">
      <c r="A56" t="s">
        <v>0</v>
      </c>
      <c r="B56" t="s">
        <v>5</v>
      </c>
      <c r="C56">
        <v>19</v>
      </c>
      <c r="D56">
        <v>4</v>
      </c>
      <c r="E56" s="1"/>
      <c r="F56" s="3"/>
      <c r="G56" s="1"/>
      <c r="H56">
        <v>96</v>
      </c>
    </row>
    <row r="57" spans="1:11" hidden="1" x14ac:dyDescent="0.25">
      <c r="A57" t="s">
        <v>8</v>
      </c>
      <c r="B57" t="s">
        <v>1</v>
      </c>
      <c r="C57">
        <v>20</v>
      </c>
      <c r="D57">
        <v>4</v>
      </c>
      <c r="E57" s="1" cm="1">
        <f t="array" ref="E57">SUM(C57/C57:D61)/SUM(D57:D61)</f>
        <v>1.5081871345029241</v>
      </c>
      <c r="F57" s="3" cm="1">
        <f t="array" ref="F57">SUM(C57:C61*10)/(SUM($C$227:$C$251))</f>
        <v>2.0250521920668056</v>
      </c>
      <c r="G57" s="3">
        <f>(SUM(C57:C61)/100)*100</f>
        <v>97</v>
      </c>
      <c r="H57">
        <v>96</v>
      </c>
      <c r="I57">
        <f>AVERAGE(C57:C61)</f>
        <v>19.399999999999999</v>
      </c>
      <c r="J57">
        <f>_xlfn.STDEV.S(C57:C61)</f>
        <v>0.89442719099991586</v>
      </c>
      <c r="K57">
        <f>_xlfn.CONFIDENCE.NORM(0.05,J57,5)</f>
        <v>0.7839855938160214</v>
      </c>
    </row>
    <row r="58" spans="1:11" hidden="1" x14ac:dyDescent="0.25">
      <c r="A58" t="s">
        <v>8</v>
      </c>
      <c r="B58" t="s">
        <v>2</v>
      </c>
      <c r="C58">
        <v>20</v>
      </c>
      <c r="D58">
        <v>4</v>
      </c>
      <c r="E58" s="1"/>
      <c r="F58" s="3"/>
      <c r="G58" s="1"/>
      <c r="H58">
        <v>96</v>
      </c>
    </row>
    <row r="59" spans="1:11" hidden="1" x14ac:dyDescent="0.25">
      <c r="A59" t="s">
        <v>8</v>
      </c>
      <c r="B59" t="s">
        <v>3</v>
      </c>
      <c r="C59">
        <v>18</v>
      </c>
      <c r="D59">
        <v>4</v>
      </c>
      <c r="E59" s="1"/>
      <c r="F59" s="3"/>
      <c r="G59" s="1"/>
      <c r="H59">
        <v>96</v>
      </c>
    </row>
    <row r="60" spans="1:11" hidden="1" x14ac:dyDescent="0.25">
      <c r="A60" t="s">
        <v>8</v>
      </c>
      <c r="B60" t="s">
        <v>4</v>
      </c>
      <c r="C60">
        <v>20</v>
      </c>
      <c r="D60">
        <v>4</v>
      </c>
      <c r="E60" s="1"/>
      <c r="F60" s="3"/>
      <c r="G60" s="1"/>
      <c r="H60">
        <v>96</v>
      </c>
    </row>
    <row r="61" spans="1:11" hidden="1" x14ac:dyDescent="0.25">
      <c r="A61" t="s">
        <v>8</v>
      </c>
      <c r="B61" t="s">
        <v>5</v>
      </c>
      <c r="C61">
        <v>19</v>
      </c>
      <c r="D61">
        <v>4</v>
      </c>
      <c r="E61" s="1"/>
      <c r="F61" s="3"/>
      <c r="G61" s="1"/>
      <c r="H61">
        <v>96</v>
      </c>
    </row>
    <row r="62" spans="1:11" hidden="1" x14ac:dyDescent="0.25">
      <c r="A62" t="s">
        <v>9</v>
      </c>
      <c r="B62" t="s">
        <v>1</v>
      </c>
      <c r="C62">
        <v>18</v>
      </c>
      <c r="D62">
        <v>4</v>
      </c>
      <c r="E62" s="1" cm="1">
        <f t="array" ref="E62">SUM(C62/C62:D66)/SUM(D62:D66)</f>
        <v>1.3623684210526315</v>
      </c>
      <c r="F62" s="3" cm="1">
        <f t="array" ref="F62">SUM(C62:C66*10)/(SUM($C$227:$C$251))</f>
        <v>1.9832985386221293</v>
      </c>
      <c r="G62" s="3">
        <f>(SUM(C62:C66)/100)*100</f>
        <v>95</v>
      </c>
      <c r="H62">
        <v>96</v>
      </c>
      <c r="I62">
        <f>AVERAGE(C62:C66)</f>
        <v>19</v>
      </c>
      <c r="J62">
        <f>_xlfn.STDEV.S(C62:C66)</f>
        <v>1</v>
      </c>
      <c r="K62">
        <f>_xlfn.CONFIDENCE.NORM(0.05,J62,5)</f>
        <v>0.8765225405765813</v>
      </c>
    </row>
    <row r="63" spans="1:11" hidden="1" x14ac:dyDescent="0.25">
      <c r="A63" t="s">
        <v>9</v>
      </c>
      <c r="B63" t="s">
        <v>2</v>
      </c>
      <c r="C63">
        <v>20</v>
      </c>
      <c r="D63">
        <v>4</v>
      </c>
      <c r="E63" s="1"/>
      <c r="F63" s="3"/>
      <c r="G63" s="1"/>
      <c r="H63">
        <v>96</v>
      </c>
    </row>
    <row r="64" spans="1:11" hidden="1" x14ac:dyDescent="0.25">
      <c r="A64" t="s">
        <v>9</v>
      </c>
      <c r="B64" t="s">
        <v>3</v>
      </c>
      <c r="C64">
        <v>20</v>
      </c>
      <c r="D64">
        <v>4</v>
      </c>
      <c r="E64" s="1"/>
      <c r="F64" s="3"/>
      <c r="G64" s="1"/>
      <c r="H64">
        <v>96</v>
      </c>
    </row>
    <row r="65" spans="1:11" hidden="1" x14ac:dyDescent="0.25">
      <c r="A65" t="s">
        <v>9</v>
      </c>
      <c r="B65" t="s">
        <v>4</v>
      </c>
      <c r="C65">
        <v>18</v>
      </c>
      <c r="D65">
        <v>4</v>
      </c>
      <c r="E65" s="1"/>
      <c r="F65" s="3"/>
      <c r="G65" s="1"/>
      <c r="H65">
        <v>96</v>
      </c>
    </row>
    <row r="66" spans="1:11" hidden="1" x14ac:dyDescent="0.25">
      <c r="A66" t="s">
        <v>9</v>
      </c>
      <c r="B66" t="s">
        <v>5</v>
      </c>
      <c r="C66">
        <v>19</v>
      </c>
      <c r="D66">
        <v>4</v>
      </c>
      <c r="E66" s="1"/>
      <c r="F66" s="3"/>
      <c r="G66" s="1"/>
      <c r="H66">
        <v>96</v>
      </c>
    </row>
    <row r="67" spans="1:11" hidden="1" x14ac:dyDescent="0.25">
      <c r="A67" t="s">
        <v>10</v>
      </c>
      <c r="B67" t="s">
        <v>1</v>
      </c>
      <c r="C67">
        <v>18</v>
      </c>
      <c r="D67">
        <v>4</v>
      </c>
      <c r="E67" s="1" cm="1">
        <f t="array" ref="E67">SUM(C67/C67:D71)/SUM(D67:D71)</f>
        <v>1.3621052631578947</v>
      </c>
      <c r="F67" s="3" cm="1">
        <f t="array" ref="F67">SUM(C67:C71*10)/(SUM($C$227:$C$251))</f>
        <v>1.9832985386221293</v>
      </c>
      <c r="G67" s="3">
        <f>(SUM(C67:C71)/100)*100</f>
        <v>95</v>
      </c>
      <c r="H67">
        <v>96</v>
      </c>
      <c r="I67">
        <f>AVERAGE(C67:C71)</f>
        <v>19</v>
      </c>
      <c r="J67">
        <f>_xlfn.STDEV.S(C67:C71)</f>
        <v>0.70710678118654757</v>
      </c>
      <c r="K67">
        <f>_xlfn.CONFIDENCE.NORM(0.05,J67,5)</f>
        <v>0.61979503230456146</v>
      </c>
    </row>
    <row r="68" spans="1:11" hidden="1" x14ac:dyDescent="0.25">
      <c r="A68" t="s">
        <v>10</v>
      </c>
      <c r="B68" t="s">
        <v>2</v>
      </c>
      <c r="C68">
        <v>19</v>
      </c>
      <c r="D68">
        <v>4</v>
      </c>
      <c r="E68" s="1"/>
      <c r="F68" s="3"/>
      <c r="G68" s="1"/>
      <c r="H68">
        <v>96</v>
      </c>
    </row>
    <row r="69" spans="1:11" hidden="1" x14ac:dyDescent="0.25">
      <c r="A69" t="s">
        <v>10</v>
      </c>
      <c r="B69" t="s">
        <v>3</v>
      </c>
      <c r="C69">
        <v>20</v>
      </c>
      <c r="D69">
        <v>4</v>
      </c>
      <c r="E69" s="1"/>
      <c r="F69" s="3"/>
      <c r="G69" s="1"/>
      <c r="H69">
        <v>96</v>
      </c>
    </row>
    <row r="70" spans="1:11" hidden="1" x14ac:dyDescent="0.25">
      <c r="A70" t="s">
        <v>10</v>
      </c>
      <c r="B70" t="s">
        <v>4</v>
      </c>
      <c r="C70">
        <v>19</v>
      </c>
      <c r="D70">
        <v>4</v>
      </c>
      <c r="E70" s="1"/>
      <c r="F70" s="3"/>
      <c r="G70" s="1"/>
      <c r="H70">
        <v>96</v>
      </c>
    </row>
    <row r="71" spans="1:11" hidden="1" x14ac:dyDescent="0.25">
      <c r="A71" t="s">
        <v>10</v>
      </c>
      <c r="B71" t="s">
        <v>5</v>
      </c>
      <c r="C71">
        <v>19</v>
      </c>
      <c r="D71">
        <v>4</v>
      </c>
      <c r="E71" s="1"/>
      <c r="F71" s="3"/>
      <c r="G71" s="1"/>
      <c r="H71">
        <v>96</v>
      </c>
    </row>
    <row r="72" spans="1:11" x14ac:dyDescent="0.25">
      <c r="A72" t="s">
        <v>11</v>
      </c>
      <c r="B72" t="s">
        <v>1</v>
      </c>
      <c r="C72">
        <v>17</v>
      </c>
      <c r="D72">
        <v>4</v>
      </c>
      <c r="E72" s="1" cm="1">
        <f t="array" ref="E72">SUM(C72/C72:D76)/SUM(D72:D76)</f>
        <v>1.2978472222222224</v>
      </c>
      <c r="F72" s="3" cm="1">
        <f t="array" ref="F72">SUM(C72:C76*10)/(SUM($C$227:$C$251))</f>
        <v>1.8997912317327765</v>
      </c>
      <c r="G72" s="3">
        <f>(SUM(C72:C76)/100)*100</f>
        <v>91</v>
      </c>
      <c r="H72">
        <v>96</v>
      </c>
      <c r="I72">
        <v>192</v>
      </c>
      <c r="J72">
        <f>_xlfn.STDEV.S(C72:C76)</f>
        <v>1.7888543819998317</v>
      </c>
      <c r="K72">
        <f>_xlfn.CONFIDENCE.NORM(0.05,J72,5)</f>
        <v>1.5679711876320428</v>
      </c>
    </row>
    <row r="73" spans="1:11" x14ac:dyDescent="0.25">
      <c r="A73" t="s">
        <v>11</v>
      </c>
      <c r="B73" t="s">
        <v>2</v>
      </c>
      <c r="C73">
        <v>18</v>
      </c>
      <c r="D73">
        <v>4</v>
      </c>
      <c r="E73" s="1"/>
      <c r="F73" s="3"/>
      <c r="G73" s="1"/>
      <c r="H73">
        <v>96</v>
      </c>
    </row>
    <row r="74" spans="1:11" x14ac:dyDescent="0.25">
      <c r="A74" t="s">
        <v>11</v>
      </c>
      <c r="B74" t="s">
        <v>3</v>
      </c>
      <c r="C74">
        <v>20</v>
      </c>
      <c r="D74">
        <v>4</v>
      </c>
      <c r="E74" s="1"/>
      <c r="F74" s="3"/>
      <c r="G74" s="1"/>
      <c r="H74">
        <v>96</v>
      </c>
    </row>
    <row r="75" spans="1:11" x14ac:dyDescent="0.25">
      <c r="A75" t="s">
        <v>11</v>
      </c>
      <c r="B75" t="s">
        <v>4</v>
      </c>
      <c r="C75">
        <v>20</v>
      </c>
      <c r="D75">
        <v>4</v>
      </c>
      <c r="E75" s="1"/>
      <c r="F75" s="3"/>
      <c r="G75" s="1"/>
      <c r="H75">
        <v>96</v>
      </c>
    </row>
    <row r="76" spans="1:11" x14ac:dyDescent="0.25">
      <c r="A76" t="s">
        <v>11</v>
      </c>
      <c r="B76" t="s">
        <v>5</v>
      </c>
      <c r="C76">
        <v>16</v>
      </c>
      <c r="D76">
        <v>4</v>
      </c>
      <c r="E76" s="1"/>
      <c r="F76" s="3"/>
      <c r="G76" s="1"/>
      <c r="H76">
        <v>96</v>
      </c>
    </row>
    <row r="77" spans="1:11" hidden="1" x14ac:dyDescent="0.25">
      <c r="A77" t="s">
        <v>0</v>
      </c>
      <c r="B77" t="s">
        <v>7</v>
      </c>
      <c r="C77">
        <v>16</v>
      </c>
      <c r="D77">
        <v>4</v>
      </c>
      <c r="E77" s="1" cm="1">
        <f t="array" ref="E77">SUM(C77/C77:D81)/SUM(D77:D81)</f>
        <v>1.2242105263157894</v>
      </c>
      <c r="F77" s="3" cm="1">
        <f t="array" ref="F77">SUM(C77:C81*10)/(SUM($C$227:$C$251))</f>
        <v>1.8789144050104385</v>
      </c>
      <c r="G77" s="3">
        <f>(SUM(C77:C81)/100)*100</f>
        <v>90</v>
      </c>
      <c r="H77">
        <v>96</v>
      </c>
      <c r="I77">
        <f>AVERAGE(C77:C81)</f>
        <v>18</v>
      </c>
      <c r="J77">
        <f>_xlfn.STDEV.S(C77:C81)</f>
        <v>1.8708286933869707</v>
      </c>
      <c r="K77">
        <f>_xlfn.CONFIDENCE.NORM(0.05,J77,5)</f>
        <v>1.6398235193111135</v>
      </c>
    </row>
    <row r="78" spans="1:11" hidden="1" x14ac:dyDescent="0.25">
      <c r="A78" t="s">
        <v>0</v>
      </c>
      <c r="B78" t="s">
        <v>2</v>
      </c>
      <c r="C78">
        <v>19</v>
      </c>
      <c r="D78">
        <v>4</v>
      </c>
      <c r="E78" s="1"/>
      <c r="F78" s="3"/>
      <c r="G78" s="1"/>
      <c r="H78">
        <v>96</v>
      </c>
    </row>
    <row r="79" spans="1:11" hidden="1" x14ac:dyDescent="0.25">
      <c r="A79" t="s">
        <v>0</v>
      </c>
      <c r="B79" t="s">
        <v>3</v>
      </c>
      <c r="C79">
        <v>20</v>
      </c>
      <c r="D79">
        <v>4</v>
      </c>
      <c r="E79" s="1"/>
      <c r="F79" s="3"/>
      <c r="G79" s="1"/>
      <c r="H79">
        <v>96</v>
      </c>
    </row>
    <row r="80" spans="1:11" hidden="1" x14ac:dyDescent="0.25">
      <c r="A80" t="s">
        <v>0</v>
      </c>
      <c r="B80" t="s">
        <v>4</v>
      </c>
      <c r="C80">
        <v>16</v>
      </c>
      <c r="D80">
        <v>4</v>
      </c>
      <c r="E80" s="1"/>
      <c r="F80" s="3"/>
      <c r="G80" s="1"/>
      <c r="H80">
        <v>96</v>
      </c>
    </row>
    <row r="81" spans="1:11" hidden="1" x14ac:dyDescent="0.25">
      <c r="A81" t="s">
        <v>0</v>
      </c>
      <c r="B81" t="s">
        <v>5</v>
      </c>
      <c r="C81">
        <v>19</v>
      </c>
      <c r="D81">
        <v>4</v>
      </c>
      <c r="E81" s="1"/>
      <c r="F81" s="3"/>
      <c r="G81" s="1"/>
      <c r="H81">
        <v>96</v>
      </c>
    </row>
    <row r="82" spans="1:11" hidden="1" x14ac:dyDescent="0.25">
      <c r="A82" t="s">
        <v>8</v>
      </c>
      <c r="B82" t="s">
        <v>1</v>
      </c>
      <c r="C82">
        <v>20</v>
      </c>
      <c r="D82">
        <v>4</v>
      </c>
      <c r="E82" s="1" cm="1">
        <f t="array" ref="E82">SUM(C82/C82:D86)/SUM(D82:D86)</f>
        <v>1.5052631578947371</v>
      </c>
      <c r="F82" s="3" cm="1">
        <f t="array" ref="F82">SUM(C82:C86*10)/(SUM($C$227:$C$251))</f>
        <v>2.0459290187891441</v>
      </c>
      <c r="G82" s="3">
        <f>(SUM(C82:C86)/100)*100</f>
        <v>98</v>
      </c>
      <c r="H82">
        <v>96</v>
      </c>
      <c r="I82">
        <f>AVERAGE(C82:C86)</f>
        <v>19.600000000000001</v>
      </c>
      <c r="J82">
        <f>_xlfn.STDEV.S(C82:C86)</f>
        <v>0.54772255750516607</v>
      </c>
      <c r="K82">
        <f>_xlfn.CONFIDENCE.NORM(0.05,J82,5)</f>
        <v>0.48009116763553078</v>
      </c>
    </row>
    <row r="83" spans="1:11" hidden="1" x14ac:dyDescent="0.25">
      <c r="A83" t="s">
        <v>8</v>
      </c>
      <c r="B83" t="s">
        <v>2</v>
      </c>
      <c r="C83">
        <v>20</v>
      </c>
      <c r="D83">
        <v>4</v>
      </c>
      <c r="E83" s="1"/>
      <c r="F83" s="3"/>
      <c r="G83" s="1"/>
      <c r="H83">
        <v>96</v>
      </c>
    </row>
    <row r="84" spans="1:11" hidden="1" x14ac:dyDescent="0.25">
      <c r="A84" t="s">
        <v>8</v>
      </c>
      <c r="B84" t="s">
        <v>3</v>
      </c>
      <c r="C84">
        <v>19</v>
      </c>
      <c r="D84">
        <v>4</v>
      </c>
      <c r="E84" s="1"/>
      <c r="F84" s="3"/>
      <c r="G84" s="1"/>
      <c r="H84">
        <v>96</v>
      </c>
    </row>
    <row r="85" spans="1:11" hidden="1" x14ac:dyDescent="0.25">
      <c r="A85" t="s">
        <v>8</v>
      </c>
      <c r="B85" t="s">
        <v>4</v>
      </c>
      <c r="C85">
        <v>20</v>
      </c>
      <c r="D85">
        <v>4</v>
      </c>
      <c r="E85" s="1"/>
      <c r="F85" s="3"/>
      <c r="G85" s="1"/>
      <c r="H85">
        <v>96</v>
      </c>
    </row>
    <row r="86" spans="1:11" hidden="1" x14ac:dyDescent="0.25">
      <c r="A86" t="s">
        <v>8</v>
      </c>
      <c r="B86" t="s">
        <v>5</v>
      </c>
      <c r="C86">
        <v>19</v>
      </c>
      <c r="D86">
        <v>4</v>
      </c>
      <c r="E86" s="1"/>
      <c r="F86" s="3"/>
      <c r="G86" s="1"/>
      <c r="H86">
        <v>96</v>
      </c>
    </row>
    <row r="87" spans="1:11" hidden="1" x14ac:dyDescent="0.25">
      <c r="A87" t="s">
        <v>9</v>
      </c>
      <c r="B87" t="s">
        <v>1</v>
      </c>
      <c r="C87">
        <v>18</v>
      </c>
      <c r="D87">
        <v>4</v>
      </c>
      <c r="E87" s="1" cm="1">
        <f t="array" ref="E87">SUM(C87/C87:D91)/SUM(D87:D91)</f>
        <v>1.3599999999999999</v>
      </c>
      <c r="F87" s="3" cm="1">
        <f t="array" ref="F87">SUM(C87:C91*10)/(SUM($C$227:$C$251))</f>
        <v>2.0041753653444676</v>
      </c>
      <c r="G87" s="3">
        <f>(SUM(C87:C91)/100)*100</f>
        <v>96</v>
      </c>
      <c r="H87">
        <v>96</v>
      </c>
      <c r="I87">
        <f>AVERAGE(C87:C91)</f>
        <v>19.2</v>
      </c>
      <c r="J87">
        <f>_xlfn.STDEV.S(C87:C91)</f>
        <v>1.0954451150103324</v>
      </c>
      <c r="K87">
        <f>_xlfn.CONFIDENCE.NORM(0.05,J87,5)</f>
        <v>0.96018233527106178</v>
      </c>
    </row>
    <row r="88" spans="1:11" hidden="1" x14ac:dyDescent="0.25">
      <c r="A88" t="s">
        <v>9</v>
      </c>
      <c r="B88" t="s">
        <v>2</v>
      </c>
      <c r="C88">
        <v>20</v>
      </c>
      <c r="D88">
        <v>4</v>
      </c>
      <c r="E88" s="1"/>
      <c r="F88" s="3"/>
      <c r="G88" s="1"/>
      <c r="H88">
        <v>96</v>
      </c>
    </row>
    <row r="89" spans="1:11" hidden="1" x14ac:dyDescent="0.25">
      <c r="A89" t="s">
        <v>9</v>
      </c>
      <c r="B89" t="s">
        <v>3</v>
      </c>
      <c r="C89">
        <v>20</v>
      </c>
      <c r="D89">
        <v>4</v>
      </c>
      <c r="E89" s="1"/>
      <c r="F89" s="3"/>
      <c r="G89" s="1"/>
      <c r="H89">
        <v>96</v>
      </c>
    </row>
    <row r="90" spans="1:11" hidden="1" x14ac:dyDescent="0.25">
      <c r="A90" t="s">
        <v>9</v>
      </c>
      <c r="B90" t="s">
        <v>4</v>
      </c>
      <c r="C90">
        <v>18</v>
      </c>
      <c r="D90">
        <v>4</v>
      </c>
      <c r="E90" s="1"/>
      <c r="F90" s="3"/>
      <c r="G90" s="1"/>
      <c r="H90">
        <v>96</v>
      </c>
    </row>
    <row r="91" spans="1:11" hidden="1" x14ac:dyDescent="0.25">
      <c r="A91" t="s">
        <v>9</v>
      </c>
      <c r="B91" t="s">
        <v>5</v>
      </c>
      <c r="C91">
        <v>20</v>
      </c>
      <c r="D91">
        <v>4</v>
      </c>
      <c r="E91" s="1"/>
      <c r="F91" s="3"/>
      <c r="G91" s="1"/>
      <c r="H91">
        <v>96</v>
      </c>
    </row>
    <row r="92" spans="1:11" hidden="1" x14ac:dyDescent="0.25">
      <c r="A92" t="s">
        <v>10</v>
      </c>
      <c r="B92" t="s">
        <v>1</v>
      </c>
      <c r="C92">
        <v>18</v>
      </c>
      <c r="D92">
        <v>4</v>
      </c>
      <c r="E92" s="1" cm="1">
        <f t="array" ref="E92">SUM(C92/C92:D96)/SUM(D92:D96)</f>
        <v>1.3621052631578947</v>
      </c>
      <c r="F92" s="3" cm="1">
        <f t="array" ref="F92">SUM(C92:C96*10)/(SUM($C$227:$C$251))</f>
        <v>1.9832985386221293</v>
      </c>
      <c r="G92" s="3">
        <f>(SUM(C92:C96)/100)*100</f>
        <v>95</v>
      </c>
      <c r="H92">
        <v>96</v>
      </c>
      <c r="I92">
        <f>AVERAGE(C92:C96)</f>
        <v>19</v>
      </c>
      <c r="J92">
        <f>_xlfn.STDEV.S(C92:C96)</f>
        <v>0.70710678118654757</v>
      </c>
      <c r="K92">
        <f>_xlfn.CONFIDENCE.NORM(0.05,J92,5)</f>
        <v>0.61979503230456146</v>
      </c>
    </row>
    <row r="93" spans="1:11" hidden="1" x14ac:dyDescent="0.25">
      <c r="A93" t="s">
        <v>10</v>
      </c>
      <c r="B93" t="s">
        <v>2</v>
      </c>
      <c r="C93">
        <v>19</v>
      </c>
      <c r="D93">
        <v>4</v>
      </c>
      <c r="E93" s="1"/>
      <c r="F93" s="3"/>
      <c r="G93" s="1"/>
      <c r="H93">
        <v>96</v>
      </c>
    </row>
    <row r="94" spans="1:11" hidden="1" x14ac:dyDescent="0.25">
      <c r="A94" t="s">
        <v>10</v>
      </c>
      <c r="B94" t="s">
        <v>3</v>
      </c>
      <c r="C94">
        <v>20</v>
      </c>
      <c r="D94">
        <v>4</v>
      </c>
      <c r="E94" s="1"/>
      <c r="F94" s="3"/>
      <c r="G94" s="1"/>
      <c r="H94">
        <v>96</v>
      </c>
    </row>
    <row r="95" spans="1:11" hidden="1" x14ac:dyDescent="0.25">
      <c r="A95" t="s">
        <v>10</v>
      </c>
      <c r="B95" t="s">
        <v>4</v>
      </c>
      <c r="C95">
        <v>19</v>
      </c>
      <c r="D95">
        <v>4</v>
      </c>
      <c r="E95" s="1"/>
      <c r="F95" s="3"/>
      <c r="G95" s="1"/>
      <c r="H95">
        <v>96</v>
      </c>
    </row>
    <row r="96" spans="1:11" hidden="1" x14ac:dyDescent="0.25">
      <c r="A96" t="s">
        <v>10</v>
      </c>
      <c r="B96" t="s">
        <v>5</v>
      </c>
      <c r="C96">
        <v>19</v>
      </c>
      <c r="D96">
        <v>4</v>
      </c>
      <c r="E96" s="1"/>
      <c r="F96" s="3"/>
      <c r="G96" s="1"/>
      <c r="H96">
        <v>96</v>
      </c>
    </row>
    <row r="97" spans="1:11" x14ac:dyDescent="0.25">
      <c r="A97" t="s">
        <v>11</v>
      </c>
      <c r="B97" t="s">
        <v>1</v>
      </c>
      <c r="C97">
        <v>18</v>
      </c>
      <c r="D97">
        <v>4</v>
      </c>
      <c r="E97" s="1" cm="1">
        <f t="array" ref="E97">SUM(C97/C97:D101)/SUM(D97:D101)</f>
        <v>1.36625</v>
      </c>
      <c r="F97" s="3" cm="1">
        <f t="array" ref="F97">SUM(C97:C101*10)/(SUM($C$227:$C$251))</f>
        <v>1.9624217118997913</v>
      </c>
      <c r="G97" s="3">
        <f>(SUM(C97:C101)/100)*100</f>
        <v>94</v>
      </c>
      <c r="H97">
        <v>96</v>
      </c>
      <c r="I97">
        <f>AVERAGE(C97:C101)</f>
        <v>18.8</v>
      </c>
      <c r="J97">
        <f>_xlfn.STDEV.S(C97:C101)</f>
        <v>1.7888543819998317</v>
      </c>
      <c r="K97">
        <f>_xlfn.CONFIDENCE.NORM(0.05,J97,5)</f>
        <v>1.5679711876320428</v>
      </c>
    </row>
    <row r="98" spans="1:11" x14ac:dyDescent="0.25">
      <c r="A98" t="s">
        <v>11</v>
      </c>
      <c r="B98" t="s">
        <v>2</v>
      </c>
      <c r="C98">
        <v>20</v>
      </c>
      <c r="D98">
        <v>4</v>
      </c>
      <c r="E98" s="1"/>
      <c r="F98" s="3"/>
      <c r="G98" s="1"/>
      <c r="H98">
        <v>96</v>
      </c>
    </row>
    <row r="99" spans="1:11" x14ac:dyDescent="0.25">
      <c r="A99" t="s">
        <v>11</v>
      </c>
      <c r="B99" t="s">
        <v>3</v>
      </c>
      <c r="C99">
        <v>20</v>
      </c>
      <c r="D99">
        <v>4</v>
      </c>
      <c r="E99" s="1"/>
      <c r="F99" s="3"/>
      <c r="G99" s="1"/>
      <c r="H99">
        <v>96</v>
      </c>
    </row>
    <row r="100" spans="1:11" x14ac:dyDescent="0.25">
      <c r="A100" t="s">
        <v>11</v>
      </c>
      <c r="B100" t="s">
        <v>4</v>
      </c>
      <c r="C100">
        <v>20</v>
      </c>
      <c r="D100">
        <v>4</v>
      </c>
      <c r="E100" s="1"/>
      <c r="F100" s="3"/>
      <c r="G100" s="1"/>
      <c r="H100">
        <v>96</v>
      </c>
    </row>
    <row r="101" spans="1:11" x14ac:dyDescent="0.25">
      <c r="A101" t="s">
        <v>11</v>
      </c>
      <c r="B101" t="s">
        <v>5</v>
      </c>
      <c r="C101">
        <v>16</v>
      </c>
      <c r="D101">
        <v>4</v>
      </c>
      <c r="E101" s="1"/>
      <c r="F101" s="3"/>
      <c r="G101" s="1"/>
      <c r="H101">
        <v>96</v>
      </c>
    </row>
    <row r="102" spans="1:11" hidden="1" x14ac:dyDescent="0.25">
      <c r="A102" t="s">
        <v>0</v>
      </c>
      <c r="B102" t="s">
        <v>7</v>
      </c>
      <c r="C102">
        <v>16</v>
      </c>
      <c r="D102">
        <v>5</v>
      </c>
      <c r="E102" s="1" cm="1">
        <f t="array" ref="E102">SUM(C102/C102:D106)/SUM(D102:D106)</f>
        <v>0.81701547987616097</v>
      </c>
      <c r="F102" s="3" cm="1">
        <f t="array" ref="F102">SUM(C102:C106*10)/(SUM($C$227:$C$251))</f>
        <v>1.8997912317327765</v>
      </c>
      <c r="G102" s="3">
        <f>(SUM(C102:C106)/100)*100</f>
        <v>91</v>
      </c>
      <c r="H102">
        <v>120</v>
      </c>
      <c r="I102">
        <f>AVERAGE(C102:C106)</f>
        <v>18.2</v>
      </c>
      <c r="J102">
        <f>_xlfn.STDEV.S(C102:C106)</f>
        <v>1.6431676725154982</v>
      </c>
      <c r="K102">
        <f>_xlfn.CONFIDENCE.NORM(0.05,J102,5)</f>
        <v>1.4402735029065925</v>
      </c>
    </row>
    <row r="103" spans="1:11" hidden="1" x14ac:dyDescent="0.25">
      <c r="A103" t="s">
        <v>0</v>
      </c>
      <c r="B103" t="s">
        <v>2</v>
      </c>
      <c r="C103">
        <v>19</v>
      </c>
      <c r="D103">
        <v>5</v>
      </c>
      <c r="E103" s="1"/>
      <c r="F103" s="3"/>
      <c r="G103" s="1"/>
      <c r="H103">
        <v>120</v>
      </c>
    </row>
    <row r="104" spans="1:11" hidden="1" x14ac:dyDescent="0.25">
      <c r="A104" t="s">
        <v>0</v>
      </c>
      <c r="B104" t="s">
        <v>3</v>
      </c>
      <c r="C104">
        <v>20</v>
      </c>
      <c r="D104">
        <v>5</v>
      </c>
      <c r="E104" s="1"/>
      <c r="F104" s="3"/>
      <c r="G104" s="1"/>
      <c r="H104">
        <v>120</v>
      </c>
    </row>
    <row r="105" spans="1:11" hidden="1" x14ac:dyDescent="0.25">
      <c r="A105" t="s">
        <v>0</v>
      </c>
      <c r="B105" t="s">
        <v>4</v>
      </c>
      <c r="C105">
        <v>17</v>
      </c>
      <c r="D105">
        <v>5</v>
      </c>
      <c r="E105" s="1"/>
      <c r="F105" s="3"/>
      <c r="G105" s="1"/>
      <c r="H105">
        <v>120</v>
      </c>
    </row>
    <row r="106" spans="1:11" hidden="1" x14ac:dyDescent="0.25">
      <c r="A106" t="s">
        <v>0</v>
      </c>
      <c r="B106" t="s">
        <v>5</v>
      </c>
      <c r="C106">
        <v>19</v>
      </c>
      <c r="D106">
        <v>5</v>
      </c>
      <c r="E106" s="1"/>
      <c r="F106" s="3"/>
      <c r="G106" s="1"/>
      <c r="H106">
        <v>120</v>
      </c>
    </row>
    <row r="107" spans="1:11" hidden="1" x14ac:dyDescent="0.25">
      <c r="A107" t="s">
        <v>8</v>
      </c>
      <c r="B107" t="s">
        <v>1</v>
      </c>
      <c r="C107">
        <v>20</v>
      </c>
      <c r="D107">
        <v>5</v>
      </c>
      <c r="E107" s="1" cm="1">
        <f t="array" ref="E107">SUM(C107/C107:D111)/SUM(D107:D111)</f>
        <v>1.0042105263157897</v>
      </c>
      <c r="F107" s="3" cm="1">
        <f t="array" ref="F107">SUM(C107:C111*10)/(SUM($C$227:$C$251))</f>
        <v>2.0459290187891441</v>
      </c>
      <c r="G107" s="3">
        <f>(SUM(C107:C111)/100)*100</f>
        <v>98</v>
      </c>
      <c r="H107">
        <v>120</v>
      </c>
      <c r="I107">
        <f>AVERAGE(C107:C111)</f>
        <v>19.600000000000001</v>
      </c>
      <c r="J107">
        <f>_xlfn.STDEV.S(C107:C111)</f>
        <v>0.54772255750516607</v>
      </c>
      <c r="K107">
        <f>_xlfn.CONFIDENCE.NORM(0.05,J107,5)</f>
        <v>0.48009116763553078</v>
      </c>
    </row>
    <row r="108" spans="1:11" hidden="1" x14ac:dyDescent="0.25">
      <c r="A108" t="s">
        <v>8</v>
      </c>
      <c r="B108" t="s">
        <v>2</v>
      </c>
      <c r="C108">
        <v>20</v>
      </c>
      <c r="D108">
        <v>5</v>
      </c>
      <c r="E108" s="1"/>
      <c r="F108" s="3"/>
      <c r="G108" s="1"/>
      <c r="H108">
        <v>120</v>
      </c>
    </row>
    <row r="109" spans="1:11" hidden="1" x14ac:dyDescent="0.25">
      <c r="A109" t="s">
        <v>8</v>
      </c>
      <c r="B109" t="s">
        <v>3</v>
      </c>
      <c r="C109">
        <v>19</v>
      </c>
      <c r="D109">
        <v>5</v>
      </c>
      <c r="E109" s="1"/>
      <c r="F109" s="3"/>
      <c r="G109" s="1"/>
      <c r="H109">
        <v>120</v>
      </c>
    </row>
    <row r="110" spans="1:11" hidden="1" x14ac:dyDescent="0.25">
      <c r="A110" t="s">
        <v>8</v>
      </c>
      <c r="B110" t="s">
        <v>4</v>
      </c>
      <c r="C110">
        <v>20</v>
      </c>
      <c r="D110">
        <v>5</v>
      </c>
      <c r="E110" s="1"/>
      <c r="F110" s="3"/>
      <c r="G110" s="1"/>
      <c r="H110">
        <v>120</v>
      </c>
    </row>
    <row r="111" spans="1:11" hidden="1" x14ac:dyDescent="0.25">
      <c r="A111" t="s">
        <v>8</v>
      </c>
      <c r="B111" t="s">
        <v>5</v>
      </c>
      <c r="C111">
        <v>19</v>
      </c>
      <c r="D111">
        <v>5</v>
      </c>
      <c r="E111" s="1"/>
      <c r="F111" s="3"/>
      <c r="G111" s="1"/>
      <c r="H111">
        <v>120</v>
      </c>
    </row>
    <row r="112" spans="1:11" hidden="1" x14ac:dyDescent="0.25">
      <c r="A112" t="s">
        <v>9</v>
      </c>
      <c r="B112" t="s">
        <v>1</v>
      </c>
      <c r="C112">
        <v>18</v>
      </c>
      <c r="D112">
        <v>5</v>
      </c>
      <c r="E112" s="1" cm="1">
        <f t="array" ref="E112">SUM(C112/C112:D116)/SUM(D112:D116)</f>
        <v>0.90799999999999992</v>
      </c>
      <c r="F112" s="3" cm="1">
        <f t="array" ref="F112">SUM(C112:C116*10)/(SUM($C$227:$C$251))</f>
        <v>2.0041753653444676</v>
      </c>
      <c r="G112" s="3">
        <f>(SUM(C112:C116)/100)*100</f>
        <v>96</v>
      </c>
      <c r="H112">
        <v>120</v>
      </c>
      <c r="I112">
        <f>AVERAGE(C112:C116)</f>
        <v>19.2</v>
      </c>
      <c r="J112">
        <f>_xlfn.STDEV.S(C112:C116)</f>
        <v>1.0954451150103324</v>
      </c>
      <c r="K112">
        <f>_xlfn.CONFIDENCE.NORM(0.05,J112,5)</f>
        <v>0.96018233527106178</v>
      </c>
    </row>
    <row r="113" spans="1:11" hidden="1" x14ac:dyDescent="0.25">
      <c r="A113" t="s">
        <v>9</v>
      </c>
      <c r="B113" t="s">
        <v>2</v>
      </c>
      <c r="C113">
        <v>20</v>
      </c>
      <c r="D113">
        <v>5</v>
      </c>
      <c r="E113" s="1"/>
      <c r="F113" s="3"/>
      <c r="G113" s="1"/>
      <c r="H113">
        <v>120</v>
      </c>
    </row>
    <row r="114" spans="1:11" hidden="1" x14ac:dyDescent="0.25">
      <c r="A114" t="s">
        <v>9</v>
      </c>
      <c r="B114" t="s">
        <v>3</v>
      </c>
      <c r="C114">
        <v>20</v>
      </c>
      <c r="D114">
        <v>5</v>
      </c>
      <c r="E114" s="1"/>
      <c r="F114" s="3"/>
      <c r="G114" s="1"/>
      <c r="H114">
        <v>120</v>
      </c>
    </row>
    <row r="115" spans="1:11" hidden="1" x14ac:dyDescent="0.25">
      <c r="A115" t="s">
        <v>9</v>
      </c>
      <c r="B115" t="s">
        <v>4</v>
      </c>
      <c r="C115">
        <v>18</v>
      </c>
      <c r="D115">
        <v>5</v>
      </c>
      <c r="E115" s="1"/>
      <c r="F115" s="3"/>
      <c r="G115" s="1"/>
      <c r="H115">
        <v>120</v>
      </c>
    </row>
    <row r="116" spans="1:11" hidden="1" x14ac:dyDescent="0.25">
      <c r="A116" t="s">
        <v>9</v>
      </c>
      <c r="B116" t="s">
        <v>5</v>
      </c>
      <c r="C116">
        <v>20</v>
      </c>
      <c r="D116">
        <v>5</v>
      </c>
      <c r="E116" s="1"/>
      <c r="F116" s="3"/>
      <c r="G116" s="1"/>
      <c r="H116">
        <v>120</v>
      </c>
    </row>
    <row r="117" spans="1:11" hidden="1" x14ac:dyDescent="0.25">
      <c r="A117" t="s">
        <v>10</v>
      </c>
      <c r="B117" t="s">
        <v>1</v>
      </c>
      <c r="C117">
        <v>19</v>
      </c>
      <c r="D117">
        <v>5</v>
      </c>
      <c r="E117" s="1" cm="1">
        <f t="array" ref="E117">SUM(C117/C117:D121)/SUM(D117:D121)</f>
        <v>0.95799999999999996</v>
      </c>
      <c r="F117" s="3" cm="1">
        <f t="array" ref="F117">SUM(C117:C121*10)/(SUM($C$227:$C$251))</f>
        <v>2.0041753653444676</v>
      </c>
      <c r="G117" s="3">
        <f>(SUM(C117:C121)/100)*100</f>
        <v>96</v>
      </c>
      <c r="H117">
        <v>120</v>
      </c>
      <c r="I117">
        <f>AVERAGE(C117:C121)</f>
        <v>19.2</v>
      </c>
      <c r="J117">
        <f>_xlfn.STDEV.S(C117:C121)</f>
        <v>0.44721359549995793</v>
      </c>
      <c r="K117">
        <f>_xlfn.CONFIDENCE.NORM(0.05,J117,5)</f>
        <v>0.3919927969080107</v>
      </c>
    </row>
    <row r="118" spans="1:11" hidden="1" x14ac:dyDescent="0.25">
      <c r="A118" t="s">
        <v>10</v>
      </c>
      <c r="B118" t="s">
        <v>2</v>
      </c>
      <c r="C118">
        <v>19</v>
      </c>
      <c r="D118">
        <v>5</v>
      </c>
      <c r="E118" s="1"/>
      <c r="F118" s="3"/>
      <c r="G118" s="1"/>
      <c r="H118">
        <v>120</v>
      </c>
    </row>
    <row r="119" spans="1:11" hidden="1" x14ac:dyDescent="0.25">
      <c r="A119" t="s">
        <v>10</v>
      </c>
      <c r="B119" t="s">
        <v>3</v>
      </c>
      <c r="C119">
        <v>20</v>
      </c>
      <c r="D119">
        <v>5</v>
      </c>
      <c r="E119" s="1"/>
      <c r="F119" s="3"/>
      <c r="G119" s="1"/>
      <c r="H119">
        <v>120</v>
      </c>
    </row>
    <row r="120" spans="1:11" hidden="1" x14ac:dyDescent="0.25">
      <c r="A120" t="s">
        <v>10</v>
      </c>
      <c r="B120" t="s">
        <v>4</v>
      </c>
      <c r="C120">
        <v>19</v>
      </c>
      <c r="D120">
        <v>5</v>
      </c>
      <c r="E120" s="1"/>
      <c r="F120" s="3"/>
      <c r="G120" s="1"/>
      <c r="H120">
        <v>120</v>
      </c>
    </row>
    <row r="121" spans="1:11" hidden="1" x14ac:dyDescent="0.25">
      <c r="A121" t="s">
        <v>10</v>
      </c>
      <c r="B121" t="s">
        <v>5</v>
      </c>
      <c r="C121">
        <v>19</v>
      </c>
      <c r="D121">
        <v>5</v>
      </c>
      <c r="E121" s="1"/>
      <c r="F121" s="3"/>
      <c r="G121" s="1"/>
      <c r="H121">
        <v>120</v>
      </c>
    </row>
    <row r="122" spans="1:11" x14ac:dyDescent="0.25">
      <c r="A122" t="s">
        <v>11</v>
      </c>
      <c r="B122" t="s">
        <v>1</v>
      </c>
      <c r="C122">
        <v>18</v>
      </c>
      <c r="D122">
        <v>5</v>
      </c>
      <c r="E122" s="1" cm="1">
        <f t="array" ref="E122">SUM(C122/C122:D126)/SUM(D122:D126)</f>
        <v>0.91300000000000014</v>
      </c>
      <c r="F122" s="3" cm="1">
        <f t="array" ref="F122">SUM(C122:C126*10)/(SUM($C$227:$C$251))</f>
        <v>1.9624217118997913</v>
      </c>
      <c r="G122" s="3">
        <f>(SUM(C122:C126)/100)*100</f>
        <v>94</v>
      </c>
      <c r="H122">
        <v>120</v>
      </c>
      <c r="I122">
        <f>AVERAGE(C122:C126)</f>
        <v>18.8</v>
      </c>
      <c r="J122">
        <f>_xlfn.STDEV.S(C122:C126)</f>
        <v>1.7888543819998317</v>
      </c>
      <c r="K122">
        <f>_xlfn.CONFIDENCE.NORM(0.05,J122,5)</f>
        <v>1.5679711876320428</v>
      </c>
    </row>
    <row r="123" spans="1:11" x14ac:dyDescent="0.25">
      <c r="A123" t="s">
        <v>11</v>
      </c>
      <c r="B123" t="s">
        <v>2</v>
      </c>
      <c r="C123">
        <v>20</v>
      </c>
      <c r="D123">
        <v>5</v>
      </c>
      <c r="E123" s="1"/>
      <c r="F123" s="3"/>
      <c r="G123" s="1"/>
      <c r="H123">
        <v>120</v>
      </c>
    </row>
    <row r="124" spans="1:11" x14ac:dyDescent="0.25">
      <c r="A124" t="s">
        <v>11</v>
      </c>
      <c r="B124" t="s">
        <v>3</v>
      </c>
      <c r="C124">
        <v>20</v>
      </c>
      <c r="D124">
        <v>5</v>
      </c>
      <c r="E124" s="1"/>
      <c r="F124" s="3"/>
      <c r="G124" s="1"/>
      <c r="H124">
        <v>120</v>
      </c>
    </row>
    <row r="125" spans="1:11" x14ac:dyDescent="0.25">
      <c r="A125" t="s">
        <v>11</v>
      </c>
      <c r="B125" t="s">
        <v>4</v>
      </c>
      <c r="C125">
        <v>20</v>
      </c>
      <c r="D125">
        <v>5</v>
      </c>
      <c r="E125" s="1"/>
      <c r="F125" s="3"/>
      <c r="G125" s="1"/>
      <c r="H125">
        <v>120</v>
      </c>
    </row>
    <row r="126" spans="1:11" x14ac:dyDescent="0.25">
      <c r="A126" t="s">
        <v>11</v>
      </c>
      <c r="B126" t="s">
        <v>5</v>
      </c>
      <c r="C126">
        <v>16</v>
      </c>
      <c r="D126">
        <v>5</v>
      </c>
      <c r="E126" s="1"/>
      <c r="F126" s="3"/>
      <c r="G126" s="1"/>
      <c r="H126">
        <v>120</v>
      </c>
    </row>
    <row r="127" spans="1:11" hidden="1" x14ac:dyDescent="0.25">
      <c r="A127" t="s">
        <v>0</v>
      </c>
      <c r="B127" t="s">
        <v>7</v>
      </c>
      <c r="C127">
        <v>16</v>
      </c>
      <c r="D127">
        <v>6</v>
      </c>
      <c r="E127" s="1" cm="1">
        <f t="array" ref="E127">SUM(C127/C127:D131)/SUM(D127:D131)</f>
        <v>0.59195734434124536</v>
      </c>
      <c r="F127" s="3" cm="1">
        <f t="array" ref="F127">SUM(C127:C131*10)/(SUM($C$227:$C$251))</f>
        <v>1.8997912317327765</v>
      </c>
      <c r="G127" s="3">
        <f>(SUM(C127:C131)/100)*100</f>
        <v>91</v>
      </c>
      <c r="H127">
        <v>144</v>
      </c>
      <c r="I127">
        <f>AVERAGE(C127:C131)</f>
        <v>18.2</v>
      </c>
      <c r="J127">
        <f>_xlfn.STDEV.S(C127:C131)</f>
        <v>1.6431676725154982</v>
      </c>
      <c r="K127">
        <f>_xlfn.CONFIDENCE.NORM(0.05,J127,5)</f>
        <v>1.4402735029065925</v>
      </c>
    </row>
    <row r="128" spans="1:11" hidden="1" x14ac:dyDescent="0.25">
      <c r="A128" t="s">
        <v>0</v>
      </c>
      <c r="B128" t="s">
        <v>2</v>
      </c>
      <c r="C128">
        <v>19</v>
      </c>
      <c r="D128">
        <v>6</v>
      </c>
      <c r="E128" s="1"/>
      <c r="F128" s="3"/>
      <c r="G128" s="1"/>
      <c r="H128">
        <v>144</v>
      </c>
    </row>
    <row r="129" spans="1:11" hidden="1" x14ac:dyDescent="0.25">
      <c r="A129" t="s">
        <v>0</v>
      </c>
      <c r="B129" t="s">
        <v>3</v>
      </c>
      <c r="C129">
        <v>20</v>
      </c>
      <c r="D129">
        <v>6</v>
      </c>
      <c r="E129" s="1"/>
      <c r="F129" s="3"/>
      <c r="G129" s="1"/>
      <c r="H129">
        <v>144</v>
      </c>
    </row>
    <row r="130" spans="1:11" hidden="1" x14ac:dyDescent="0.25">
      <c r="A130" t="s">
        <v>0</v>
      </c>
      <c r="B130" t="s">
        <v>4</v>
      </c>
      <c r="C130">
        <v>17</v>
      </c>
      <c r="D130">
        <v>6</v>
      </c>
      <c r="E130" s="1"/>
      <c r="F130" s="3"/>
      <c r="G130" s="1"/>
      <c r="H130">
        <v>144</v>
      </c>
    </row>
    <row r="131" spans="1:11" hidden="1" x14ac:dyDescent="0.25">
      <c r="A131" t="s">
        <v>0</v>
      </c>
      <c r="B131" t="s">
        <v>5</v>
      </c>
      <c r="C131">
        <v>19</v>
      </c>
      <c r="D131">
        <v>6</v>
      </c>
      <c r="E131" s="1"/>
      <c r="F131" s="3"/>
      <c r="G131" s="1"/>
      <c r="H131">
        <v>144</v>
      </c>
    </row>
    <row r="132" spans="1:11" hidden="1" x14ac:dyDescent="0.25">
      <c r="A132" t="s">
        <v>8</v>
      </c>
      <c r="B132" t="s">
        <v>1</v>
      </c>
      <c r="C132">
        <v>20</v>
      </c>
      <c r="D132">
        <v>6</v>
      </c>
      <c r="E132" s="1" cm="1">
        <f t="array" ref="E132">SUM(C132/C132:D136)/SUM(D132:D136)</f>
        <v>0.72573099415204678</v>
      </c>
      <c r="F132" s="3" cm="1">
        <f t="array" ref="F132">SUM(C132:C136*10)/(SUM($C$227:$C$251))</f>
        <v>2.0459290187891441</v>
      </c>
      <c r="G132" s="3">
        <f>(SUM(C132:C136)/100)*100</f>
        <v>98</v>
      </c>
      <c r="H132">
        <v>144</v>
      </c>
      <c r="I132">
        <f>AVERAGE(C132:C136)</f>
        <v>19.600000000000001</v>
      </c>
      <c r="J132">
        <f>_xlfn.STDEV.S(C132:C136)</f>
        <v>0.54772255750516607</v>
      </c>
      <c r="K132">
        <f>_xlfn.CONFIDENCE.NORM(0.05,J132,5)</f>
        <v>0.48009116763553078</v>
      </c>
    </row>
    <row r="133" spans="1:11" hidden="1" x14ac:dyDescent="0.25">
      <c r="A133" t="s">
        <v>8</v>
      </c>
      <c r="B133" t="s">
        <v>2</v>
      </c>
      <c r="C133">
        <v>20</v>
      </c>
      <c r="D133">
        <v>6</v>
      </c>
      <c r="E133" s="1"/>
      <c r="F133" s="3"/>
      <c r="G133" s="1"/>
      <c r="H133">
        <v>144</v>
      </c>
    </row>
    <row r="134" spans="1:11" hidden="1" x14ac:dyDescent="0.25">
      <c r="A134" t="s">
        <v>8</v>
      </c>
      <c r="B134" t="s">
        <v>3</v>
      </c>
      <c r="C134">
        <v>19</v>
      </c>
      <c r="D134">
        <v>6</v>
      </c>
      <c r="E134" s="1"/>
      <c r="F134" s="3"/>
      <c r="G134" s="1"/>
      <c r="H134">
        <v>144</v>
      </c>
    </row>
    <row r="135" spans="1:11" hidden="1" x14ac:dyDescent="0.25">
      <c r="A135" t="s">
        <v>8</v>
      </c>
      <c r="B135" t="s">
        <v>4</v>
      </c>
      <c r="C135">
        <v>20</v>
      </c>
      <c r="D135">
        <v>6</v>
      </c>
      <c r="E135" s="1"/>
      <c r="F135" s="3"/>
      <c r="G135" s="1"/>
      <c r="H135">
        <v>144</v>
      </c>
    </row>
    <row r="136" spans="1:11" hidden="1" x14ac:dyDescent="0.25">
      <c r="A136" t="s">
        <v>8</v>
      </c>
      <c r="B136" t="s">
        <v>5</v>
      </c>
      <c r="C136">
        <v>19</v>
      </c>
      <c r="D136">
        <v>6</v>
      </c>
      <c r="E136" s="1"/>
      <c r="F136" s="3"/>
      <c r="G136" s="1"/>
      <c r="H136">
        <v>144</v>
      </c>
    </row>
    <row r="137" spans="1:11" hidden="1" x14ac:dyDescent="0.25">
      <c r="A137" t="s">
        <v>9</v>
      </c>
      <c r="B137" t="s">
        <v>1</v>
      </c>
      <c r="C137">
        <v>18</v>
      </c>
      <c r="D137">
        <v>6</v>
      </c>
      <c r="E137" s="1" cm="1">
        <f t="array" ref="E137">SUM(C137/C137:D141)/SUM(D137:D141)</f>
        <v>0.65666666666666662</v>
      </c>
      <c r="F137" s="3" cm="1">
        <f t="array" ref="F137">SUM(C137:C141*10)/(SUM($C$227:$C$251))</f>
        <v>2.0041753653444676</v>
      </c>
      <c r="G137" s="3">
        <f>(SUM(C137:C141)/100)*100</f>
        <v>96</v>
      </c>
      <c r="H137">
        <v>144</v>
      </c>
      <c r="I137">
        <f>AVERAGE(C137:C141)</f>
        <v>19.2</v>
      </c>
      <c r="J137">
        <f>_xlfn.STDEV.S(C137:C141)</f>
        <v>1.0954451150103324</v>
      </c>
      <c r="K137">
        <f>_xlfn.CONFIDENCE.NORM(0.05,J137,5)</f>
        <v>0.96018233527106178</v>
      </c>
    </row>
    <row r="138" spans="1:11" hidden="1" x14ac:dyDescent="0.25">
      <c r="A138" t="s">
        <v>9</v>
      </c>
      <c r="B138" t="s">
        <v>2</v>
      </c>
      <c r="C138">
        <v>20</v>
      </c>
      <c r="D138">
        <v>6</v>
      </c>
      <c r="E138" s="1"/>
      <c r="F138" s="3"/>
      <c r="G138" s="1"/>
      <c r="H138">
        <v>144</v>
      </c>
    </row>
    <row r="139" spans="1:11" hidden="1" x14ac:dyDescent="0.25">
      <c r="A139" t="s">
        <v>9</v>
      </c>
      <c r="B139" t="s">
        <v>3</v>
      </c>
      <c r="C139">
        <v>20</v>
      </c>
      <c r="D139">
        <v>6</v>
      </c>
      <c r="E139" s="1"/>
      <c r="F139" s="3"/>
      <c r="G139" s="1"/>
      <c r="H139">
        <v>144</v>
      </c>
    </row>
    <row r="140" spans="1:11" hidden="1" x14ac:dyDescent="0.25">
      <c r="A140" t="s">
        <v>9</v>
      </c>
      <c r="B140" t="s">
        <v>4</v>
      </c>
      <c r="C140">
        <v>18</v>
      </c>
      <c r="D140">
        <v>6</v>
      </c>
      <c r="E140" s="1"/>
      <c r="F140" s="3"/>
      <c r="G140" s="1"/>
      <c r="H140">
        <v>144</v>
      </c>
    </row>
    <row r="141" spans="1:11" hidden="1" x14ac:dyDescent="0.25">
      <c r="A141" t="s">
        <v>9</v>
      </c>
      <c r="B141" t="s">
        <v>5</v>
      </c>
      <c r="C141">
        <v>20</v>
      </c>
      <c r="D141">
        <v>6</v>
      </c>
      <c r="E141" s="1"/>
      <c r="F141" s="3"/>
      <c r="G141" s="1"/>
      <c r="H141">
        <v>144</v>
      </c>
    </row>
    <row r="142" spans="1:11" hidden="1" x14ac:dyDescent="0.25">
      <c r="A142" t="s">
        <v>10</v>
      </c>
      <c r="B142" t="s">
        <v>1</v>
      </c>
      <c r="C142">
        <v>19</v>
      </c>
      <c r="D142">
        <v>6</v>
      </c>
      <c r="E142" s="1" cm="1">
        <f t="array" ref="E142">SUM(C142/C142:D146)/SUM(D142:D146)</f>
        <v>0.69277777777777771</v>
      </c>
      <c r="F142" s="3" cm="1">
        <f t="array" ref="F142">SUM(C142:C146*10)/(SUM($C$227:$C$251))</f>
        <v>2.0041753653444676</v>
      </c>
      <c r="G142" s="3">
        <f>(SUM(C142:C146)/100)*100</f>
        <v>96</v>
      </c>
      <c r="H142">
        <v>144</v>
      </c>
      <c r="I142">
        <f>AVERAGE(C142:C146)</f>
        <v>19.2</v>
      </c>
      <c r="J142">
        <f>_xlfn.STDEV.S(C142:C146)</f>
        <v>0.44721359549995793</v>
      </c>
      <c r="K142">
        <f>_xlfn.CONFIDENCE.NORM(0.05,J142,5)</f>
        <v>0.3919927969080107</v>
      </c>
    </row>
    <row r="143" spans="1:11" hidden="1" x14ac:dyDescent="0.25">
      <c r="A143" t="s">
        <v>10</v>
      </c>
      <c r="B143" t="s">
        <v>2</v>
      </c>
      <c r="C143">
        <v>19</v>
      </c>
      <c r="D143">
        <v>6</v>
      </c>
      <c r="E143" s="1"/>
      <c r="F143" s="3"/>
      <c r="G143" s="1"/>
      <c r="H143">
        <v>144</v>
      </c>
    </row>
    <row r="144" spans="1:11" hidden="1" x14ac:dyDescent="0.25">
      <c r="A144" t="s">
        <v>10</v>
      </c>
      <c r="B144" t="s">
        <v>3</v>
      </c>
      <c r="C144">
        <v>20</v>
      </c>
      <c r="D144">
        <v>6</v>
      </c>
      <c r="E144" s="1"/>
      <c r="F144" s="3"/>
      <c r="G144" s="1"/>
      <c r="H144">
        <v>144</v>
      </c>
    </row>
    <row r="145" spans="1:11" hidden="1" x14ac:dyDescent="0.25">
      <c r="A145" t="s">
        <v>10</v>
      </c>
      <c r="B145" t="s">
        <v>4</v>
      </c>
      <c r="C145">
        <v>19</v>
      </c>
      <c r="D145">
        <v>6</v>
      </c>
      <c r="E145" s="1"/>
      <c r="F145" s="3"/>
      <c r="G145" s="1"/>
      <c r="H145">
        <v>144</v>
      </c>
    </row>
    <row r="146" spans="1:11" hidden="1" x14ac:dyDescent="0.25">
      <c r="A146" t="s">
        <v>10</v>
      </c>
      <c r="B146" t="s">
        <v>5</v>
      </c>
      <c r="C146">
        <v>19</v>
      </c>
      <c r="D146">
        <v>6</v>
      </c>
      <c r="E146" s="1"/>
      <c r="F146" s="3"/>
      <c r="G146" s="1"/>
      <c r="H146">
        <v>144</v>
      </c>
    </row>
    <row r="147" spans="1:11" x14ac:dyDescent="0.25">
      <c r="A147" t="s">
        <v>11</v>
      </c>
      <c r="B147" t="s">
        <v>1</v>
      </c>
      <c r="C147">
        <v>18</v>
      </c>
      <c r="D147">
        <v>6</v>
      </c>
      <c r="E147" s="1" cm="1">
        <f t="array" ref="E147">SUM(C147/C147:D151)/SUM(D147:D151)</f>
        <v>0.66083333333333338</v>
      </c>
      <c r="F147" s="3" cm="1">
        <f t="array" ref="F147">SUM(C147:C151*10)/(SUM($C$227:$C$251))</f>
        <v>1.9624217118997913</v>
      </c>
      <c r="G147" s="3">
        <f>(SUM(C147:C151)/100)*100</f>
        <v>94</v>
      </c>
      <c r="H147">
        <v>144</v>
      </c>
      <c r="I147">
        <f>AVERAGE(C147:C151)</f>
        <v>18.8</v>
      </c>
      <c r="J147">
        <f>_xlfn.STDEV.S(C147:C151)</f>
        <v>1.7888543819998317</v>
      </c>
      <c r="K147">
        <f>_xlfn.CONFIDENCE.NORM(0.05,J147,5)</f>
        <v>1.5679711876320428</v>
      </c>
    </row>
    <row r="148" spans="1:11" x14ac:dyDescent="0.25">
      <c r="A148" t="s">
        <v>11</v>
      </c>
      <c r="B148" t="s">
        <v>2</v>
      </c>
      <c r="C148">
        <v>20</v>
      </c>
      <c r="D148">
        <v>6</v>
      </c>
      <c r="E148" s="1"/>
      <c r="F148" s="3"/>
      <c r="G148" s="1"/>
      <c r="H148">
        <v>144</v>
      </c>
    </row>
    <row r="149" spans="1:11" x14ac:dyDescent="0.25">
      <c r="A149" t="s">
        <v>11</v>
      </c>
      <c r="B149" t="s">
        <v>3</v>
      </c>
      <c r="C149">
        <v>20</v>
      </c>
      <c r="D149">
        <v>6</v>
      </c>
      <c r="E149" s="1"/>
      <c r="F149" s="3"/>
      <c r="G149" s="1"/>
      <c r="H149">
        <v>144</v>
      </c>
    </row>
    <row r="150" spans="1:11" x14ac:dyDescent="0.25">
      <c r="A150" t="s">
        <v>11</v>
      </c>
      <c r="B150" t="s">
        <v>4</v>
      </c>
      <c r="C150">
        <v>20</v>
      </c>
      <c r="D150">
        <v>6</v>
      </c>
      <c r="E150" s="1"/>
      <c r="F150" s="3"/>
      <c r="G150" s="1"/>
      <c r="H150">
        <v>144</v>
      </c>
    </row>
    <row r="151" spans="1:11" x14ac:dyDescent="0.25">
      <c r="A151" t="s">
        <v>11</v>
      </c>
      <c r="B151" t="s">
        <v>5</v>
      </c>
      <c r="C151">
        <v>16</v>
      </c>
      <c r="D151">
        <v>6</v>
      </c>
      <c r="E151" s="1"/>
      <c r="F151" s="3"/>
      <c r="G151" s="1"/>
      <c r="H151">
        <v>144</v>
      </c>
    </row>
    <row r="152" spans="1:11" hidden="1" x14ac:dyDescent="0.25">
      <c r="A152" t="s">
        <v>0</v>
      </c>
      <c r="B152" t="s">
        <v>7</v>
      </c>
      <c r="C152">
        <v>17</v>
      </c>
      <c r="D152">
        <v>7</v>
      </c>
      <c r="E152" s="1" cm="1">
        <f t="array" ref="E152">SUM(C152/C152:D156)/SUM(D152:D156)</f>
        <v>0.47949516648764767</v>
      </c>
      <c r="F152" s="3" cm="1">
        <f t="array" ref="F152">SUM(C152:C156*10)/(SUM($C$227:$C$251))</f>
        <v>1.9206680584551148</v>
      </c>
      <c r="G152" s="3">
        <f>(SUM(C152:C156)/100)*100</f>
        <v>92</v>
      </c>
      <c r="H152">
        <v>168</v>
      </c>
      <c r="I152">
        <f>AVERAGE(C152:C156)</f>
        <v>18.399999999999999</v>
      </c>
      <c r="J152">
        <f>_xlfn.STDEV.S(C152:C156)</f>
        <v>1.3416407864998738</v>
      </c>
      <c r="K152">
        <f>_xlfn.CONFIDENCE.NORM(0.05,J152,5)</f>
        <v>1.1759783907240322</v>
      </c>
    </row>
    <row r="153" spans="1:11" hidden="1" x14ac:dyDescent="0.25">
      <c r="A153" t="s">
        <v>0</v>
      </c>
      <c r="B153" t="s">
        <v>2</v>
      </c>
      <c r="C153">
        <v>19</v>
      </c>
      <c r="D153">
        <v>7</v>
      </c>
      <c r="E153" s="1"/>
      <c r="F153" s="3"/>
      <c r="G153" s="1"/>
      <c r="H153">
        <v>168</v>
      </c>
    </row>
    <row r="154" spans="1:11" hidden="1" x14ac:dyDescent="0.25">
      <c r="A154" t="s">
        <v>0</v>
      </c>
      <c r="B154" t="s">
        <v>3</v>
      </c>
      <c r="C154">
        <v>20</v>
      </c>
      <c r="D154">
        <v>7</v>
      </c>
      <c r="E154" s="1"/>
      <c r="F154" s="3"/>
      <c r="G154" s="1"/>
      <c r="H154">
        <v>168</v>
      </c>
    </row>
    <row r="155" spans="1:11" hidden="1" x14ac:dyDescent="0.25">
      <c r="A155" t="s">
        <v>0</v>
      </c>
      <c r="B155" t="s">
        <v>4</v>
      </c>
      <c r="C155">
        <v>17</v>
      </c>
      <c r="D155">
        <v>7</v>
      </c>
      <c r="E155" s="1"/>
      <c r="F155" s="3"/>
      <c r="G155" s="1"/>
      <c r="H155">
        <v>168</v>
      </c>
    </row>
    <row r="156" spans="1:11" hidden="1" x14ac:dyDescent="0.25">
      <c r="A156" t="s">
        <v>0</v>
      </c>
      <c r="B156" t="s">
        <v>5</v>
      </c>
      <c r="C156">
        <v>19</v>
      </c>
      <c r="D156">
        <v>7</v>
      </c>
      <c r="E156" s="1"/>
      <c r="F156" s="3"/>
      <c r="G156" s="1"/>
      <c r="H156">
        <v>168</v>
      </c>
    </row>
    <row r="157" spans="1:11" hidden="1" x14ac:dyDescent="0.25">
      <c r="A157" t="s">
        <v>8</v>
      </c>
      <c r="B157" t="s">
        <v>1</v>
      </c>
      <c r="C157">
        <v>20</v>
      </c>
      <c r="D157">
        <v>7</v>
      </c>
      <c r="E157" s="1" cm="1">
        <f t="array" ref="E157">SUM(C157/C157:D161)/SUM(D157:D161)</f>
        <v>0.5525241675617617</v>
      </c>
      <c r="F157" s="3" cm="1">
        <f t="array" ref="F157">SUM(C157:C161*10)/(SUM($C$227:$C$251))</f>
        <v>2.0668058455114822</v>
      </c>
      <c r="G157" s="3">
        <f>(SUM(C157:C161)/100)*100</f>
        <v>99</v>
      </c>
      <c r="H157">
        <v>168</v>
      </c>
      <c r="I157">
        <f>AVERAGE(C157:C161)</f>
        <v>19.8</v>
      </c>
      <c r="J157">
        <f>_xlfn.STDEV.S(C157:C161)</f>
        <v>0.44721359549995793</v>
      </c>
      <c r="K157">
        <f>_xlfn.CONFIDENCE.NORM(0.05,J157,5)</f>
        <v>0.3919927969080107</v>
      </c>
    </row>
    <row r="158" spans="1:11" hidden="1" x14ac:dyDescent="0.25">
      <c r="A158" t="s">
        <v>8</v>
      </c>
      <c r="B158" t="s">
        <v>2</v>
      </c>
      <c r="C158">
        <v>20</v>
      </c>
      <c r="D158">
        <v>7</v>
      </c>
      <c r="E158" s="1"/>
      <c r="F158" s="3"/>
      <c r="G158" s="1"/>
      <c r="H158">
        <v>168</v>
      </c>
    </row>
    <row r="159" spans="1:11" hidden="1" x14ac:dyDescent="0.25">
      <c r="A159" t="s">
        <v>8</v>
      </c>
      <c r="B159" t="s">
        <v>3</v>
      </c>
      <c r="C159">
        <v>20</v>
      </c>
      <c r="D159">
        <v>7</v>
      </c>
      <c r="E159" s="1"/>
      <c r="F159" s="3"/>
      <c r="G159" s="1"/>
      <c r="H159">
        <v>168</v>
      </c>
    </row>
    <row r="160" spans="1:11" hidden="1" x14ac:dyDescent="0.25">
      <c r="A160" t="s">
        <v>8</v>
      </c>
      <c r="B160" t="s">
        <v>4</v>
      </c>
      <c r="C160">
        <v>20</v>
      </c>
      <c r="D160">
        <v>7</v>
      </c>
      <c r="E160" s="1"/>
      <c r="F160" s="3"/>
      <c r="G160" s="1"/>
      <c r="H160">
        <v>168</v>
      </c>
    </row>
    <row r="161" spans="1:11" hidden="1" x14ac:dyDescent="0.25">
      <c r="A161" t="s">
        <v>8</v>
      </c>
      <c r="B161" t="s">
        <v>5</v>
      </c>
      <c r="C161">
        <v>19</v>
      </c>
      <c r="D161">
        <v>7</v>
      </c>
      <c r="E161" s="1"/>
      <c r="F161" s="3"/>
      <c r="G161" s="1"/>
      <c r="H161">
        <v>168</v>
      </c>
    </row>
    <row r="162" spans="1:11" hidden="1" x14ac:dyDescent="0.25">
      <c r="A162" t="s">
        <v>9</v>
      </c>
      <c r="B162" t="s">
        <v>1</v>
      </c>
      <c r="C162">
        <v>18</v>
      </c>
      <c r="D162">
        <v>7</v>
      </c>
      <c r="E162" s="1" cm="1">
        <f t="array" ref="E162">SUM(C162/C162:D166)/SUM(D162:D166)</f>
        <v>0.50163265306122451</v>
      </c>
      <c r="F162" s="3" cm="1">
        <f t="array" ref="F162">SUM(C162:C166*10)/(SUM($C$227:$C$251))</f>
        <v>2.0041753653444676</v>
      </c>
      <c r="G162" s="3">
        <f>(SUM(C162:C166)/100)*100</f>
        <v>96</v>
      </c>
      <c r="H162">
        <v>168</v>
      </c>
      <c r="I162">
        <f>AVERAGE(C162:C166)</f>
        <v>19.2</v>
      </c>
      <c r="J162">
        <f>_xlfn.STDEV.S(C162:C166)</f>
        <v>1.0954451150103324</v>
      </c>
      <c r="K162">
        <f>_xlfn.CONFIDENCE.NORM(0.05,J162,5)</f>
        <v>0.96018233527106178</v>
      </c>
    </row>
    <row r="163" spans="1:11" hidden="1" x14ac:dyDescent="0.25">
      <c r="A163" t="s">
        <v>9</v>
      </c>
      <c r="B163" t="s">
        <v>2</v>
      </c>
      <c r="C163">
        <v>20</v>
      </c>
      <c r="D163">
        <v>7</v>
      </c>
      <c r="E163" s="1"/>
      <c r="F163" s="3"/>
      <c r="G163" s="1"/>
      <c r="H163">
        <v>168</v>
      </c>
    </row>
    <row r="164" spans="1:11" hidden="1" x14ac:dyDescent="0.25">
      <c r="A164" t="s">
        <v>9</v>
      </c>
      <c r="B164" t="s">
        <v>3</v>
      </c>
      <c r="C164">
        <v>20</v>
      </c>
      <c r="D164">
        <v>7</v>
      </c>
      <c r="E164" s="1"/>
      <c r="F164" s="3"/>
      <c r="G164" s="1"/>
      <c r="H164">
        <v>168</v>
      </c>
    </row>
    <row r="165" spans="1:11" hidden="1" x14ac:dyDescent="0.25">
      <c r="A165" t="s">
        <v>9</v>
      </c>
      <c r="B165" t="s">
        <v>4</v>
      </c>
      <c r="C165">
        <v>18</v>
      </c>
      <c r="D165">
        <v>7</v>
      </c>
      <c r="E165" s="1"/>
      <c r="F165" s="3"/>
      <c r="G165" s="1"/>
      <c r="H165">
        <v>168</v>
      </c>
    </row>
    <row r="166" spans="1:11" hidden="1" x14ac:dyDescent="0.25">
      <c r="A166" t="s">
        <v>9</v>
      </c>
      <c r="B166" t="s">
        <v>5</v>
      </c>
      <c r="C166">
        <v>20</v>
      </c>
      <c r="D166">
        <v>7</v>
      </c>
      <c r="E166" s="1"/>
      <c r="F166" s="3"/>
      <c r="G166" s="1"/>
      <c r="H166">
        <v>168</v>
      </c>
    </row>
    <row r="167" spans="1:11" hidden="1" x14ac:dyDescent="0.25">
      <c r="A167" t="s">
        <v>10</v>
      </c>
      <c r="B167" t="s">
        <v>1</v>
      </c>
      <c r="C167">
        <v>19</v>
      </c>
      <c r="D167">
        <v>7</v>
      </c>
      <c r="E167" s="1" cm="1">
        <f t="array" ref="E167">SUM(C167/C167:D171)/SUM(D167:D171)</f>
        <v>0.52918367346938777</v>
      </c>
      <c r="F167" s="3" cm="1">
        <f t="array" ref="F167">SUM(C167:C171*10)/(SUM($C$227:$C$251))</f>
        <v>2.0041753653444676</v>
      </c>
      <c r="G167" s="3">
        <f>(SUM(C167:C171)/100)*100</f>
        <v>96</v>
      </c>
      <c r="H167">
        <v>168</v>
      </c>
      <c r="I167">
        <f>AVERAGE(C167:C171)</f>
        <v>19.2</v>
      </c>
      <c r="J167">
        <f>_xlfn.STDEV.S(C167:C171)</f>
        <v>0.44721359549995793</v>
      </c>
      <c r="K167">
        <f>_xlfn.CONFIDENCE.NORM(0.05,J167,5)</f>
        <v>0.3919927969080107</v>
      </c>
    </row>
    <row r="168" spans="1:11" hidden="1" x14ac:dyDescent="0.25">
      <c r="A168" t="s">
        <v>10</v>
      </c>
      <c r="B168" t="s">
        <v>2</v>
      </c>
      <c r="C168">
        <v>19</v>
      </c>
      <c r="D168">
        <v>7</v>
      </c>
      <c r="E168" s="1"/>
      <c r="F168" s="3"/>
      <c r="G168" s="1"/>
      <c r="H168">
        <v>168</v>
      </c>
    </row>
    <row r="169" spans="1:11" hidden="1" x14ac:dyDescent="0.25">
      <c r="A169" t="s">
        <v>10</v>
      </c>
      <c r="B169" t="s">
        <v>3</v>
      </c>
      <c r="C169">
        <v>20</v>
      </c>
      <c r="D169">
        <v>7</v>
      </c>
      <c r="E169" s="1"/>
      <c r="F169" s="3"/>
      <c r="G169" s="1"/>
      <c r="H169">
        <v>168</v>
      </c>
    </row>
    <row r="170" spans="1:11" hidden="1" x14ac:dyDescent="0.25">
      <c r="A170" t="s">
        <v>10</v>
      </c>
      <c r="B170" t="s">
        <v>4</v>
      </c>
      <c r="C170">
        <v>19</v>
      </c>
      <c r="D170">
        <v>7</v>
      </c>
      <c r="E170" s="1"/>
      <c r="F170" s="3"/>
      <c r="G170" s="1"/>
      <c r="H170">
        <v>168</v>
      </c>
    </row>
    <row r="171" spans="1:11" hidden="1" x14ac:dyDescent="0.25">
      <c r="A171" t="s">
        <v>10</v>
      </c>
      <c r="B171" t="s">
        <v>5</v>
      </c>
      <c r="C171">
        <v>19</v>
      </c>
      <c r="D171">
        <v>7</v>
      </c>
      <c r="E171" s="1"/>
      <c r="F171" s="3"/>
      <c r="G171" s="1"/>
      <c r="H171">
        <v>168</v>
      </c>
    </row>
    <row r="172" spans="1:11" x14ac:dyDescent="0.25">
      <c r="A172" t="s">
        <v>11</v>
      </c>
      <c r="B172" t="s">
        <v>1</v>
      </c>
      <c r="C172">
        <v>18</v>
      </c>
      <c r="D172">
        <v>7</v>
      </c>
      <c r="E172" s="1" cm="1">
        <f t="array" ref="E172">SUM(C172/C172:D176)/SUM(D172:D176)</f>
        <v>0.50520408163265307</v>
      </c>
      <c r="F172" s="3" cm="1">
        <f t="array" ref="F172">SUM(C172:C176*10)/(SUM($C$227:$C$251))</f>
        <v>1.9624217118997913</v>
      </c>
      <c r="G172" s="3">
        <f>(SUM(C172:C176)/100)*100</f>
        <v>94</v>
      </c>
      <c r="H172">
        <v>168</v>
      </c>
      <c r="I172">
        <f>AVERAGE(C172:C176)</f>
        <v>18.8</v>
      </c>
      <c r="J172">
        <f>_xlfn.STDEV.S(C172:C176)</f>
        <v>1.7888543819998317</v>
      </c>
      <c r="K172">
        <f>_xlfn.CONFIDENCE.NORM(0.05,J172,5)</f>
        <v>1.5679711876320428</v>
      </c>
    </row>
    <row r="173" spans="1:11" x14ac:dyDescent="0.25">
      <c r="A173" t="s">
        <v>11</v>
      </c>
      <c r="B173" t="s">
        <v>2</v>
      </c>
      <c r="C173">
        <v>20</v>
      </c>
      <c r="D173">
        <v>7</v>
      </c>
      <c r="E173" s="1"/>
      <c r="F173" s="3"/>
      <c r="G173" s="1"/>
      <c r="H173">
        <v>168</v>
      </c>
    </row>
    <row r="174" spans="1:11" x14ac:dyDescent="0.25">
      <c r="A174" t="s">
        <v>11</v>
      </c>
      <c r="B174" t="s">
        <v>3</v>
      </c>
      <c r="C174">
        <v>20</v>
      </c>
      <c r="D174">
        <v>7</v>
      </c>
      <c r="E174" s="1"/>
      <c r="F174" s="3"/>
      <c r="G174" s="1"/>
      <c r="H174">
        <v>168</v>
      </c>
    </row>
    <row r="175" spans="1:11" x14ac:dyDescent="0.25">
      <c r="A175" t="s">
        <v>11</v>
      </c>
      <c r="B175" t="s">
        <v>4</v>
      </c>
      <c r="C175">
        <v>20</v>
      </c>
      <c r="D175">
        <v>7</v>
      </c>
      <c r="E175" s="1"/>
      <c r="F175" s="3"/>
      <c r="G175" s="1"/>
      <c r="H175">
        <v>168</v>
      </c>
    </row>
    <row r="176" spans="1:11" x14ac:dyDescent="0.25">
      <c r="A176" t="s">
        <v>11</v>
      </c>
      <c r="B176" t="s">
        <v>5</v>
      </c>
      <c r="C176">
        <v>16</v>
      </c>
      <c r="D176">
        <v>7</v>
      </c>
      <c r="E176" s="1"/>
      <c r="F176" s="3"/>
      <c r="G176" s="1"/>
      <c r="H176">
        <v>168</v>
      </c>
    </row>
    <row r="177" spans="1:11" hidden="1" x14ac:dyDescent="0.25">
      <c r="A177" t="s">
        <v>0</v>
      </c>
      <c r="B177" t="s">
        <v>7</v>
      </c>
      <c r="C177">
        <v>17</v>
      </c>
      <c r="D177">
        <v>8</v>
      </c>
      <c r="E177" s="1" cm="1">
        <f t="array" ref="E177">SUM(C177/C177:D181)/SUM(D177:D181)</f>
        <v>0.38022295321637423</v>
      </c>
      <c r="F177" s="3" cm="1">
        <f t="array" ref="F177">SUM(C177:C181*10)/(SUM($C$227:$C$251))</f>
        <v>1.9415448851774531</v>
      </c>
      <c r="G177" s="3">
        <f>(SUM(C177:C181)/100)*100</f>
        <v>93</v>
      </c>
      <c r="H177">
        <v>192</v>
      </c>
      <c r="I177">
        <f>AVERAGE(C177:C181)</f>
        <v>18.600000000000001</v>
      </c>
      <c r="J177">
        <f>_xlfn.STDEV.S(C177:C181)</f>
        <v>1.1401754250991381</v>
      </c>
      <c r="K177">
        <f>_xlfn.CONFIDENCE.NORM(0.05,J177,5)</f>
        <v>0.99938946031088016</v>
      </c>
    </row>
    <row r="178" spans="1:11" hidden="1" x14ac:dyDescent="0.25">
      <c r="A178" t="s">
        <v>0</v>
      </c>
      <c r="B178" t="s">
        <v>2</v>
      </c>
      <c r="C178">
        <v>19</v>
      </c>
      <c r="D178">
        <v>8</v>
      </c>
      <c r="E178" s="1"/>
      <c r="F178" s="3"/>
      <c r="G178" s="1"/>
      <c r="H178">
        <v>192</v>
      </c>
    </row>
    <row r="179" spans="1:11" hidden="1" x14ac:dyDescent="0.25">
      <c r="A179" t="s">
        <v>0</v>
      </c>
      <c r="B179" t="s">
        <v>3</v>
      </c>
      <c r="C179">
        <v>20</v>
      </c>
      <c r="D179">
        <v>8</v>
      </c>
      <c r="E179" s="1"/>
      <c r="F179" s="3"/>
      <c r="G179" s="1"/>
      <c r="H179">
        <v>192</v>
      </c>
    </row>
    <row r="180" spans="1:11" hidden="1" x14ac:dyDescent="0.25">
      <c r="A180" t="s">
        <v>0</v>
      </c>
      <c r="B180" t="s">
        <v>4</v>
      </c>
      <c r="C180">
        <v>18</v>
      </c>
      <c r="D180">
        <v>8</v>
      </c>
      <c r="E180" s="1"/>
      <c r="F180" s="3"/>
      <c r="G180" s="1"/>
      <c r="H180">
        <v>192</v>
      </c>
    </row>
    <row r="181" spans="1:11" hidden="1" x14ac:dyDescent="0.25">
      <c r="A181" t="s">
        <v>0</v>
      </c>
      <c r="B181" t="s">
        <v>5</v>
      </c>
      <c r="C181">
        <v>19</v>
      </c>
      <c r="D181">
        <v>8</v>
      </c>
      <c r="E181" s="1"/>
      <c r="F181" s="3"/>
      <c r="G181" s="1"/>
      <c r="H181">
        <v>192</v>
      </c>
    </row>
    <row r="182" spans="1:11" hidden="1" x14ac:dyDescent="0.25">
      <c r="A182" t="s">
        <v>8</v>
      </c>
      <c r="B182" t="s">
        <v>1</v>
      </c>
      <c r="C182">
        <v>20</v>
      </c>
      <c r="D182">
        <v>8</v>
      </c>
      <c r="E182" s="1" cm="1">
        <f t="array" ref="E182">SUM(C182/C182:D186)/SUM(D182:D186)</f>
        <v>0.43881578947368427</v>
      </c>
      <c r="F182" s="3" cm="1">
        <f t="array" ref="F182">SUM(C182:C186*10)/(SUM($C$227:$C$251))</f>
        <v>2.0668058455114822</v>
      </c>
      <c r="G182" s="3">
        <f>(SUM(C182:C186)/100)*100</f>
        <v>99</v>
      </c>
      <c r="H182">
        <v>192</v>
      </c>
      <c r="I182">
        <f>AVERAGE(C182:C186)</f>
        <v>19.8</v>
      </c>
      <c r="J182">
        <f>_xlfn.STDEV.S(C182:C186)</f>
        <v>0.44721359549995793</v>
      </c>
      <c r="K182">
        <f>_xlfn.CONFIDENCE.NORM(0.05,J182,5)</f>
        <v>0.3919927969080107</v>
      </c>
    </row>
    <row r="183" spans="1:11" hidden="1" x14ac:dyDescent="0.25">
      <c r="A183" t="s">
        <v>8</v>
      </c>
      <c r="B183" t="s">
        <v>2</v>
      </c>
      <c r="C183">
        <v>20</v>
      </c>
      <c r="D183">
        <v>8</v>
      </c>
      <c r="E183" s="1"/>
      <c r="F183" s="3"/>
      <c r="G183" s="1"/>
      <c r="H183">
        <v>192</v>
      </c>
    </row>
    <row r="184" spans="1:11" hidden="1" x14ac:dyDescent="0.25">
      <c r="A184" t="s">
        <v>8</v>
      </c>
      <c r="B184" t="s">
        <v>3</v>
      </c>
      <c r="C184">
        <v>20</v>
      </c>
      <c r="D184">
        <v>8</v>
      </c>
      <c r="E184" s="1"/>
      <c r="F184" s="3"/>
      <c r="G184" s="1"/>
      <c r="H184">
        <v>192</v>
      </c>
    </row>
    <row r="185" spans="1:11" hidden="1" x14ac:dyDescent="0.25">
      <c r="A185" t="s">
        <v>8</v>
      </c>
      <c r="B185" t="s">
        <v>4</v>
      </c>
      <c r="C185">
        <v>20</v>
      </c>
      <c r="D185">
        <v>8</v>
      </c>
      <c r="E185" s="1"/>
      <c r="F185" s="3"/>
      <c r="G185" s="1"/>
      <c r="H185">
        <v>192</v>
      </c>
    </row>
    <row r="186" spans="1:11" hidden="1" x14ac:dyDescent="0.25">
      <c r="A186" t="s">
        <v>8</v>
      </c>
      <c r="B186" t="s">
        <v>5</v>
      </c>
      <c r="C186">
        <v>19</v>
      </c>
      <c r="D186">
        <v>8</v>
      </c>
      <c r="E186" s="1"/>
      <c r="F186" s="3"/>
      <c r="G186" s="1"/>
      <c r="H186">
        <v>192</v>
      </c>
    </row>
    <row r="187" spans="1:11" hidden="1" x14ac:dyDescent="0.25">
      <c r="A187" t="s">
        <v>9</v>
      </c>
      <c r="B187" t="s">
        <v>1</v>
      </c>
      <c r="C187">
        <v>19</v>
      </c>
      <c r="D187">
        <v>8</v>
      </c>
      <c r="E187" s="1" cm="1">
        <f t="array" ref="E187">SUM(C187/C187:D191)/SUM(D187:D191)</f>
        <v>0.41951388888888885</v>
      </c>
      <c r="F187" s="3" cm="1">
        <f t="array" ref="F187">SUM(C187:C191*10)/(SUM($C$227:$C$251))</f>
        <v>2.0250521920668056</v>
      </c>
      <c r="G187" s="3">
        <f>(SUM(C187:C191)/100)*100</f>
        <v>97</v>
      </c>
      <c r="H187">
        <v>192</v>
      </c>
      <c r="I187">
        <f>AVERAGE(C187:C191)</f>
        <v>19.399999999999999</v>
      </c>
      <c r="J187">
        <f>_xlfn.STDEV.S(C187:C191)</f>
        <v>0.89442719099991586</v>
      </c>
      <c r="K187">
        <f>_xlfn.CONFIDENCE.NORM(0.05,J187,5)</f>
        <v>0.7839855938160214</v>
      </c>
    </row>
    <row r="188" spans="1:11" hidden="1" x14ac:dyDescent="0.25">
      <c r="A188" t="s">
        <v>9</v>
      </c>
      <c r="B188" t="s">
        <v>2</v>
      </c>
      <c r="C188">
        <v>20</v>
      </c>
      <c r="D188">
        <v>8</v>
      </c>
      <c r="E188" s="1"/>
      <c r="F188" s="3"/>
      <c r="G188" s="1"/>
      <c r="H188">
        <v>192</v>
      </c>
    </row>
    <row r="189" spans="1:11" hidden="1" x14ac:dyDescent="0.25">
      <c r="A189" t="s">
        <v>9</v>
      </c>
      <c r="B189" t="s">
        <v>3</v>
      </c>
      <c r="C189">
        <v>20</v>
      </c>
      <c r="D189">
        <v>8</v>
      </c>
      <c r="E189" s="1"/>
      <c r="F189" s="3"/>
      <c r="G189" s="1"/>
      <c r="H189">
        <v>192</v>
      </c>
    </row>
    <row r="190" spans="1:11" hidden="1" x14ac:dyDescent="0.25">
      <c r="A190" t="s">
        <v>9</v>
      </c>
      <c r="B190" t="s">
        <v>4</v>
      </c>
      <c r="C190">
        <v>18</v>
      </c>
      <c r="D190">
        <v>8</v>
      </c>
      <c r="E190" s="1"/>
      <c r="F190" s="3"/>
      <c r="G190" s="1"/>
      <c r="H190">
        <v>192</v>
      </c>
    </row>
    <row r="191" spans="1:11" hidden="1" x14ac:dyDescent="0.25">
      <c r="A191" t="s">
        <v>9</v>
      </c>
      <c r="B191" t="s">
        <v>5</v>
      </c>
      <c r="C191">
        <v>20</v>
      </c>
      <c r="D191">
        <v>8</v>
      </c>
      <c r="E191" s="1"/>
      <c r="F191" s="3"/>
      <c r="G191" s="1"/>
      <c r="H191">
        <v>192</v>
      </c>
    </row>
    <row r="192" spans="1:11" hidden="1" x14ac:dyDescent="0.25">
      <c r="A192" t="s">
        <v>10</v>
      </c>
      <c r="B192" t="s">
        <v>1</v>
      </c>
      <c r="C192">
        <v>19</v>
      </c>
      <c r="D192">
        <v>8</v>
      </c>
      <c r="E192" s="1" cm="1">
        <f t="array" ref="E192">SUM(C192/C192:D196)/SUM(D192:D196)</f>
        <v>0.42062499999999997</v>
      </c>
      <c r="F192" s="3" cm="1">
        <f t="array" ref="F192">SUM(C192:C196*10)/(SUM($C$227:$C$251))</f>
        <v>2.0041753653444676</v>
      </c>
      <c r="G192" s="3">
        <f>(SUM(C192:C196)/100)*100</f>
        <v>96</v>
      </c>
      <c r="H192">
        <v>192</v>
      </c>
      <c r="I192">
        <f>AVERAGE(C192:C196)</f>
        <v>19.2</v>
      </c>
      <c r="J192">
        <f>_xlfn.STDEV.S(C192:C196)</f>
        <v>0.44721359549995793</v>
      </c>
      <c r="K192">
        <f>_xlfn.CONFIDENCE.NORM(0.05,J192,5)</f>
        <v>0.3919927969080107</v>
      </c>
    </row>
    <row r="193" spans="1:11" hidden="1" x14ac:dyDescent="0.25">
      <c r="A193" t="s">
        <v>10</v>
      </c>
      <c r="B193" t="s">
        <v>2</v>
      </c>
      <c r="C193">
        <v>19</v>
      </c>
      <c r="D193">
        <v>8</v>
      </c>
      <c r="E193" s="1"/>
      <c r="F193" s="3"/>
      <c r="G193" s="1"/>
      <c r="H193">
        <v>192</v>
      </c>
    </row>
    <row r="194" spans="1:11" hidden="1" x14ac:dyDescent="0.25">
      <c r="A194" t="s">
        <v>10</v>
      </c>
      <c r="B194" t="s">
        <v>3</v>
      </c>
      <c r="C194">
        <v>20</v>
      </c>
      <c r="D194">
        <v>8</v>
      </c>
      <c r="E194" s="1"/>
      <c r="F194" s="3"/>
      <c r="G194" s="1"/>
      <c r="H194">
        <v>192</v>
      </c>
    </row>
    <row r="195" spans="1:11" hidden="1" x14ac:dyDescent="0.25">
      <c r="A195" t="s">
        <v>10</v>
      </c>
      <c r="B195" t="s">
        <v>4</v>
      </c>
      <c r="C195">
        <v>19</v>
      </c>
      <c r="D195">
        <v>8</v>
      </c>
      <c r="E195" s="1"/>
      <c r="F195" s="3"/>
      <c r="G195" s="1"/>
      <c r="H195">
        <v>192</v>
      </c>
    </row>
    <row r="196" spans="1:11" hidden="1" x14ac:dyDescent="0.25">
      <c r="A196" t="s">
        <v>10</v>
      </c>
      <c r="B196" t="s">
        <v>5</v>
      </c>
      <c r="C196">
        <v>19</v>
      </c>
      <c r="D196">
        <v>8</v>
      </c>
      <c r="E196" s="1"/>
      <c r="F196" s="3"/>
      <c r="G196" s="1"/>
      <c r="H196">
        <v>192</v>
      </c>
    </row>
    <row r="197" spans="1:11" x14ac:dyDescent="0.25">
      <c r="A197" t="s">
        <v>11</v>
      </c>
      <c r="B197" t="s">
        <v>1</v>
      </c>
      <c r="C197">
        <v>18</v>
      </c>
      <c r="D197">
        <v>9</v>
      </c>
      <c r="E197" s="1" cm="1">
        <f t="array" ref="E197">SUM(C197/C197:D201)/SUM(D197:D201)</f>
        <v>0.32944444444444448</v>
      </c>
      <c r="F197" s="3" cm="1">
        <f t="array" ref="F197">SUM(C197:C201*10)/(SUM($C$227:$C$251))</f>
        <v>1.9624217118997913</v>
      </c>
      <c r="G197" s="3">
        <f>(SUM(C197:C201)/100)*100</f>
        <v>94</v>
      </c>
      <c r="H197">
        <v>216</v>
      </c>
      <c r="I197">
        <f>AVERAGE(C197:C201)</f>
        <v>18.8</v>
      </c>
      <c r="J197">
        <f>_xlfn.STDEV.S(C197:C201)</f>
        <v>1.7888543819998317</v>
      </c>
      <c r="K197">
        <f>_xlfn.CONFIDENCE.NORM(0.05,J197,5)</f>
        <v>1.5679711876320428</v>
      </c>
    </row>
    <row r="198" spans="1:11" x14ac:dyDescent="0.25">
      <c r="A198" t="s">
        <v>11</v>
      </c>
      <c r="B198" t="s">
        <v>2</v>
      </c>
      <c r="C198">
        <v>20</v>
      </c>
      <c r="D198">
        <v>9</v>
      </c>
      <c r="E198" s="1"/>
      <c r="F198" s="3"/>
      <c r="G198" s="1"/>
      <c r="H198">
        <v>216</v>
      </c>
    </row>
    <row r="199" spans="1:11" x14ac:dyDescent="0.25">
      <c r="A199" t="s">
        <v>11</v>
      </c>
      <c r="B199" t="s">
        <v>3</v>
      </c>
      <c r="C199">
        <v>20</v>
      </c>
      <c r="D199">
        <v>9</v>
      </c>
      <c r="E199" s="1"/>
      <c r="F199" s="3"/>
      <c r="G199" s="1"/>
      <c r="H199">
        <v>216</v>
      </c>
    </row>
    <row r="200" spans="1:11" x14ac:dyDescent="0.25">
      <c r="A200" t="s">
        <v>11</v>
      </c>
      <c r="B200" t="s">
        <v>4</v>
      </c>
      <c r="C200">
        <v>20</v>
      </c>
      <c r="D200">
        <v>9</v>
      </c>
      <c r="E200" s="1"/>
      <c r="F200" s="3"/>
      <c r="G200" s="1"/>
      <c r="H200">
        <v>216</v>
      </c>
    </row>
    <row r="201" spans="1:11" x14ac:dyDescent="0.25">
      <c r="A201" t="s">
        <v>11</v>
      </c>
      <c r="B201" t="s">
        <v>5</v>
      </c>
      <c r="C201">
        <v>16</v>
      </c>
      <c r="D201">
        <v>9</v>
      </c>
      <c r="E201" s="1"/>
      <c r="F201" s="3"/>
      <c r="G201" s="1"/>
      <c r="H201">
        <v>216</v>
      </c>
    </row>
    <row r="202" spans="1:11" hidden="1" x14ac:dyDescent="0.25">
      <c r="A202" t="s">
        <v>0</v>
      </c>
      <c r="B202" t="s">
        <v>7</v>
      </c>
      <c r="C202">
        <v>17</v>
      </c>
      <c r="D202">
        <v>9</v>
      </c>
      <c r="E202" s="1" cm="1">
        <f t="array" ref="E202">SUM(C202/C202:D206)/SUM(D202:D206)</f>
        <v>0.31174139051332034</v>
      </c>
      <c r="F202" s="3" cm="1">
        <f t="array" ref="F202">SUM(C202:C206*10)/(SUM($C$227:$C$251))</f>
        <v>1.9415448851774531</v>
      </c>
      <c r="G202" s="3">
        <f>(SUM(C202:C206)/100)*100</f>
        <v>93</v>
      </c>
      <c r="H202">
        <v>216</v>
      </c>
      <c r="I202">
        <f>AVERAGE(C202:C206)</f>
        <v>18.600000000000001</v>
      </c>
      <c r="J202">
        <f>_xlfn.STDEV.S(C202:C206)</f>
        <v>1.1401754250991381</v>
      </c>
      <c r="K202">
        <f>_xlfn.CONFIDENCE.NORM(0.05,J202,5)</f>
        <v>0.99938946031088016</v>
      </c>
    </row>
    <row r="203" spans="1:11" hidden="1" x14ac:dyDescent="0.25">
      <c r="A203" t="s">
        <v>0</v>
      </c>
      <c r="B203" t="s">
        <v>2</v>
      </c>
      <c r="C203">
        <v>19</v>
      </c>
      <c r="D203">
        <v>9</v>
      </c>
      <c r="E203" s="1"/>
      <c r="F203" s="3"/>
      <c r="G203" s="1"/>
      <c r="H203">
        <v>216</v>
      </c>
    </row>
    <row r="204" spans="1:11" hidden="1" x14ac:dyDescent="0.25">
      <c r="A204" t="s">
        <v>0</v>
      </c>
      <c r="B204" t="s">
        <v>3</v>
      </c>
      <c r="C204">
        <v>20</v>
      </c>
      <c r="D204">
        <v>9</v>
      </c>
      <c r="E204" s="1"/>
      <c r="F204" s="3"/>
      <c r="G204" s="1"/>
      <c r="H204">
        <v>216</v>
      </c>
    </row>
    <row r="205" spans="1:11" hidden="1" x14ac:dyDescent="0.25">
      <c r="A205" t="s">
        <v>0</v>
      </c>
      <c r="B205" t="s">
        <v>4</v>
      </c>
      <c r="C205">
        <v>18</v>
      </c>
      <c r="D205">
        <v>9</v>
      </c>
      <c r="E205" s="1"/>
      <c r="F205" s="3"/>
      <c r="G205" s="1"/>
      <c r="H205">
        <v>216</v>
      </c>
    </row>
    <row r="206" spans="1:11" hidden="1" x14ac:dyDescent="0.25">
      <c r="A206" t="s">
        <v>0</v>
      </c>
      <c r="B206" t="s">
        <v>5</v>
      </c>
      <c r="C206">
        <v>19</v>
      </c>
      <c r="D206">
        <v>9</v>
      </c>
      <c r="E206" s="1"/>
      <c r="F206" s="3"/>
      <c r="G206" s="1"/>
      <c r="H206">
        <v>216</v>
      </c>
    </row>
    <row r="207" spans="1:11" hidden="1" x14ac:dyDescent="0.25">
      <c r="A207" t="s">
        <v>8</v>
      </c>
      <c r="B207" t="s">
        <v>1</v>
      </c>
      <c r="C207">
        <v>20</v>
      </c>
      <c r="D207">
        <v>9</v>
      </c>
      <c r="E207" s="1" cm="1">
        <f t="array" ref="E207">SUM(C207/C207:D211)/SUM(D207:D211)</f>
        <v>0.35919428200129955</v>
      </c>
      <c r="F207" s="3" cm="1">
        <f t="array" ref="F207">SUM(C207:C211*10)/(SUM($C$227:$C$251))</f>
        <v>2.0668058455114822</v>
      </c>
      <c r="G207" s="3">
        <f>(SUM(C207:C211)/100)*100</f>
        <v>99</v>
      </c>
      <c r="H207">
        <v>216</v>
      </c>
      <c r="I207">
        <f>AVERAGE(C207:C211)</f>
        <v>19.8</v>
      </c>
      <c r="J207">
        <f>_xlfn.STDEV.S(C207:C211)</f>
        <v>0.44721359549995793</v>
      </c>
      <c r="K207">
        <f>_xlfn.CONFIDENCE.NORM(0.05,J207,5)</f>
        <v>0.3919927969080107</v>
      </c>
    </row>
    <row r="208" spans="1:11" hidden="1" x14ac:dyDescent="0.25">
      <c r="A208" t="s">
        <v>8</v>
      </c>
      <c r="B208" t="s">
        <v>2</v>
      </c>
      <c r="C208">
        <v>20</v>
      </c>
      <c r="D208">
        <v>9</v>
      </c>
      <c r="E208" s="1"/>
      <c r="F208" s="3"/>
      <c r="G208" s="1"/>
      <c r="H208">
        <v>216</v>
      </c>
    </row>
    <row r="209" spans="1:11" hidden="1" x14ac:dyDescent="0.25">
      <c r="A209" t="s">
        <v>8</v>
      </c>
      <c r="B209" t="s">
        <v>3</v>
      </c>
      <c r="C209">
        <v>20</v>
      </c>
      <c r="D209">
        <v>9</v>
      </c>
      <c r="E209" s="1"/>
      <c r="F209" s="3"/>
      <c r="G209" s="1"/>
      <c r="H209">
        <v>216</v>
      </c>
    </row>
    <row r="210" spans="1:11" hidden="1" x14ac:dyDescent="0.25">
      <c r="A210" t="s">
        <v>8</v>
      </c>
      <c r="B210" t="s">
        <v>4</v>
      </c>
      <c r="C210">
        <v>20</v>
      </c>
      <c r="D210">
        <v>9</v>
      </c>
      <c r="E210" s="1"/>
      <c r="F210" s="3"/>
      <c r="G210" s="1"/>
      <c r="H210">
        <v>216</v>
      </c>
    </row>
    <row r="211" spans="1:11" hidden="1" x14ac:dyDescent="0.25">
      <c r="A211" t="s">
        <v>8</v>
      </c>
      <c r="B211" t="s">
        <v>5</v>
      </c>
      <c r="C211">
        <v>19</v>
      </c>
      <c r="D211">
        <v>9</v>
      </c>
      <c r="E211" s="1"/>
      <c r="F211" s="3"/>
      <c r="G211" s="1"/>
      <c r="H211">
        <v>216</v>
      </c>
    </row>
    <row r="212" spans="1:11" hidden="1" x14ac:dyDescent="0.25">
      <c r="A212" t="s">
        <v>9</v>
      </c>
      <c r="B212" t="s">
        <v>1</v>
      </c>
      <c r="C212">
        <v>19</v>
      </c>
      <c r="D212">
        <v>9</v>
      </c>
      <c r="E212" s="1" cm="1">
        <f t="array" ref="E212">SUM(C212/C212:D216)/SUM(D212:D216)</f>
        <v>0.34358024691358025</v>
      </c>
      <c r="F212" s="3" cm="1">
        <f t="array" ref="F212">SUM(C212:C216*10)/(SUM($C$227:$C$251))</f>
        <v>2.0250521920668056</v>
      </c>
      <c r="G212" s="3">
        <f>(SUM(C212:C216)/100)*100</f>
        <v>97</v>
      </c>
      <c r="H212">
        <v>216</v>
      </c>
      <c r="I212">
        <f>AVERAGE(C212:C216)</f>
        <v>19.399999999999999</v>
      </c>
      <c r="J212">
        <f>_xlfn.STDEV.S(C212:C216)</f>
        <v>0.89442719099991586</v>
      </c>
      <c r="K212">
        <f>_xlfn.CONFIDENCE.NORM(0.05,J212,5)</f>
        <v>0.7839855938160214</v>
      </c>
    </row>
    <row r="213" spans="1:11" hidden="1" x14ac:dyDescent="0.25">
      <c r="A213" t="s">
        <v>9</v>
      </c>
      <c r="B213" t="s">
        <v>2</v>
      </c>
      <c r="C213">
        <v>20</v>
      </c>
      <c r="D213">
        <v>9</v>
      </c>
      <c r="E213" s="1"/>
      <c r="F213" s="3"/>
      <c r="G213" s="1"/>
      <c r="H213">
        <v>216</v>
      </c>
    </row>
    <row r="214" spans="1:11" hidden="1" x14ac:dyDescent="0.25">
      <c r="A214" t="s">
        <v>9</v>
      </c>
      <c r="B214" t="s">
        <v>3</v>
      </c>
      <c r="C214">
        <v>20</v>
      </c>
      <c r="D214">
        <v>9</v>
      </c>
      <c r="E214" s="1"/>
      <c r="F214" s="3"/>
      <c r="G214" s="1"/>
      <c r="H214">
        <v>216</v>
      </c>
    </row>
    <row r="215" spans="1:11" hidden="1" x14ac:dyDescent="0.25">
      <c r="A215" t="s">
        <v>9</v>
      </c>
      <c r="B215" t="s">
        <v>4</v>
      </c>
      <c r="C215">
        <v>18</v>
      </c>
      <c r="D215">
        <v>9</v>
      </c>
      <c r="E215" s="1"/>
      <c r="F215" s="3"/>
      <c r="G215" s="1"/>
      <c r="H215">
        <v>216</v>
      </c>
    </row>
    <row r="216" spans="1:11" hidden="1" x14ac:dyDescent="0.25">
      <c r="A216" t="s">
        <v>9</v>
      </c>
      <c r="B216" t="s">
        <v>5</v>
      </c>
      <c r="C216">
        <v>20</v>
      </c>
      <c r="D216">
        <v>9</v>
      </c>
      <c r="E216" s="1"/>
      <c r="F216" s="3"/>
      <c r="G216" s="1"/>
      <c r="H216">
        <v>216</v>
      </c>
    </row>
    <row r="217" spans="1:11" hidden="1" x14ac:dyDescent="0.25">
      <c r="A217" t="s">
        <v>10</v>
      </c>
      <c r="B217" t="s">
        <v>1</v>
      </c>
      <c r="C217">
        <v>19</v>
      </c>
      <c r="D217">
        <v>9</v>
      </c>
      <c r="E217" s="1" cm="1">
        <f t="array" ref="E217">SUM(C217/C217:D221)/SUM(D217:D221)</f>
        <v>0.34456790123456787</v>
      </c>
      <c r="F217" s="3" cm="1">
        <f t="array" ref="F217">SUM(C217:C221*10)/(SUM($C$227:$C$251))</f>
        <v>2.0041753653444676</v>
      </c>
      <c r="G217" s="3">
        <f>(SUM(C217:C221)/100)*100</f>
        <v>96</v>
      </c>
      <c r="H217">
        <v>216</v>
      </c>
      <c r="I217">
        <f>AVERAGE(C217:C221)</f>
        <v>19.2</v>
      </c>
      <c r="J217">
        <f>_xlfn.STDEV.S(C217:C221)</f>
        <v>0.44721359549995793</v>
      </c>
      <c r="K217">
        <f>_xlfn.CONFIDENCE.NORM(0.05,J217,5)</f>
        <v>0.3919927969080107</v>
      </c>
    </row>
    <row r="218" spans="1:11" hidden="1" x14ac:dyDescent="0.25">
      <c r="A218" t="s">
        <v>10</v>
      </c>
      <c r="B218" t="s">
        <v>2</v>
      </c>
      <c r="C218">
        <v>19</v>
      </c>
      <c r="D218">
        <v>9</v>
      </c>
      <c r="E218" s="1"/>
      <c r="F218" s="3"/>
      <c r="G218" s="1"/>
      <c r="H218">
        <v>216</v>
      </c>
    </row>
    <row r="219" spans="1:11" hidden="1" x14ac:dyDescent="0.25">
      <c r="A219" t="s">
        <v>10</v>
      </c>
      <c r="B219" t="s">
        <v>3</v>
      </c>
      <c r="C219">
        <v>20</v>
      </c>
      <c r="D219">
        <v>9</v>
      </c>
      <c r="E219" s="1"/>
      <c r="F219" s="3"/>
      <c r="G219" s="1"/>
      <c r="H219">
        <v>216</v>
      </c>
    </row>
    <row r="220" spans="1:11" hidden="1" x14ac:dyDescent="0.25">
      <c r="A220" t="s">
        <v>10</v>
      </c>
      <c r="B220" t="s">
        <v>4</v>
      </c>
      <c r="C220">
        <v>19</v>
      </c>
      <c r="D220">
        <v>9</v>
      </c>
      <c r="E220" s="1"/>
      <c r="F220" s="3"/>
      <c r="G220" s="1"/>
      <c r="H220">
        <v>216</v>
      </c>
    </row>
    <row r="221" spans="1:11" hidden="1" x14ac:dyDescent="0.25">
      <c r="A221" t="s">
        <v>10</v>
      </c>
      <c r="B221" t="s">
        <v>5</v>
      </c>
      <c r="C221">
        <v>19</v>
      </c>
      <c r="D221">
        <v>9</v>
      </c>
      <c r="E221" s="1"/>
      <c r="F221" s="3"/>
      <c r="G221" s="1"/>
      <c r="H221">
        <v>216</v>
      </c>
    </row>
    <row r="222" spans="1:11" x14ac:dyDescent="0.25">
      <c r="A222" t="s">
        <v>11</v>
      </c>
      <c r="B222" t="s">
        <v>1</v>
      </c>
      <c r="C222">
        <v>18</v>
      </c>
      <c r="D222">
        <v>9</v>
      </c>
      <c r="E222" s="1" cm="1">
        <f t="array" ref="E222">SUM(C222/C222:D226)/SUM(D222:D226)</f>
        <v>0.32944444444444448</v>
      </c>
      <c r="F222" s="3" cm="1">
        <f t="array" ref="F222">SUM(C222:C226*10)/(SUM($C$227:$C$251))</f>
        <v>1.9624217118997913</v>
      </c>
      <c r="G222" s="3">
        <f>(SUM(C222:C226)/100)*100</f>
        <v>94</v>
      </c>
      <c r="H222">
        <v>216</v>
      </c>
      <c r="I222">
        <f>AVERAGE(C222:C226)</f>
        <v>18.8</v>
      </c>
      <c r="J222">
        <f>_xlfn.STDEV.S(C222:C226)</f>
        <v>1.7888543819998317</v>
      </c>
      <c r="K222">
        <f>_xlfn.CONFIDENCE.NORM(0.05,J222,5)</f>
        <v>1.5679711876320428</v>
      </c>
    </row>
    <row r="223" spans="1:11" x14ac:dyDescent="0.25">
      <c r="A223" t="s">
        <v>11</v>
      </c>
      <c r="B223" t="s">
        <v>2</v>
      </c>
      <c r="C223">
        <v>20</v>
      </c>
      <c r="D223">
        <v>9</v>
      </c>
      <c r="E223" s="1"/>
      <c r="F223" s="3"/>
      <c r="G223" s="1"/>
      <c r="H223">
        <v>216</v>
      </c>
    </row>
    <row r="224" spans="1:11" x14ac:dyDescent="0.25">
      <c r="A224" t="s">
        <v>11</v>
      </c>
      <c r="B224" t="s">
        <v>3</v>
      </c>
      <c r="C224">
        <v>20</v>
      </c>
      <c r="D224">
        <v>9</v>
      </c>
      <c r="E224" s="1"/>
      <c r="F224" s="3"/>
      <c r="G224" s="1"/>
      <c r="H224">
        <v>216</v>
      </c>
    </row>
    <row r="225" spans="1:11" x14ac:dyDescent="0.25">
      <c r="A225" t="s">
        <v>11</v>
      </c>
      <c r="B225" t="s">
        <v>4</v>
      </c>
      <c r="C225">
        <v>20</v>
      </c>
      <c r="D225">
        <v>9</v>
      </c>
      <c r="E225" s="1"/>
      <c r="F225" s="3"/>
      <c r="G225" s="1"/>
      <c r="H225">
        <v>216</v>
      </c>
    </row>
    <row r="226" spans="1:11" x14ac:dyDescent="0.25">
      <c r="A226" t="s">
        <v>11</v>
      </c>
      <c r="B226" t="s">
        <v>5</v>
      </c>
      <c r="C226">
        <v>16</v>
      </c>
      <c r="D226">
        <v>9</v>
      </c>
      <c r="E226" s="1"/>
      <c r="F226" s="3"/>
      <c r="G226" s="1"/>
      <c r="H226">
        <v>216</v>
      </c>
    </row>
    <row r="227" spans="1:11" hidden="1" x14ac:dyDescent="0.25">
      <c r="A227" t="s">
        <v>0</v>
      </c>
      <c r="B227" t="s">
        <v>7</v>
      </c>
      <c r="C227">
        <v>17</v>
      </c>
      <c r="D227">
        <v>10</v>
      </c>
      <c r="E227" s="1" cm="1">
        <f t="array" ref="E227">SUM(C227/C227:D231)/SUM(D227:D231)</f>
        <v>0.2616783625730994</v>
      </c>
      <c r="F227" s="3" cm="1">
        <f t="array" ref="F227">SUM(C227:C231*10)/(SUM($C$227:$C$251))</f>
        <v>1.9415448851774531</v>
      </c>
      <c r="G227" s="3">
        <f>(SUM(C227:C231)/100)*100</f>
        <v>93</v>
      </c>
      <c r="H227">
        <v>240</v>
      </c>
      <c r="I227">
        <f>AVERAGE(C227:C231)</f>
        <v>18.600000000000001</v>
      </c>
      <c r="J227">
        <f>_xlfn.STDEV.S(C227:C231)</f>
        <v>1.1401754250991381</v>
      </c>
      <c r="K227">
        <f>_xlfn.CONFIDENCE.NORM(0.05,J227,5)</f>
        <v>0.99938946031088016</v>
      </c>
    </row>
    <row r="228" spans="1:11" hidden="1" x14ac:dyDescent="0.25">
      <c r="A228" t="s">
        <v>0</v>
      </c>
      <c r="B228" t="s">
        <v>2</v>
      </c>
      <c r="C228">
        <v>19</v>
      </c>
      <c r="D228">
        <v>10</v>
      </c>
      <c r="E228" s="1"/>
      <c r="F228" s="3"/>
      <c r="G228" s="1"/>
      <c r="H228">
        <v>240</v>
      </c>
    </row>
    <row r="229" spans="1:11" hidden="1" x14ac:dyDescent="0.25">
      <c r="A229" t="s">
        <v>0</v>
      </c>
      <c r="B229" t="s">
        <v>3</v>
      </c>
      <c r="C229">
        <v>20</v>
      </c>
      <c r="D229">
        <v>10</v>
      </c>
      <c r="E229" s="1"/>
      <c r="F229" s="3"/>
      <c r="G229" s="1"/>
      <c r="H229">
        <v>240</v>
      </c>
    </row>
    <row r="230" spans="1:11" hidden="1" x14ac:dyDescent="0.25">
      <c r="A230" t="s">
        <v>0</v>
      </c>
      <c r="B230" t="s">
        <v>4</v>
      </c>
      <c r="C230">
        <v>18</v>
      </c>
      <c r="D230">
        <v>10</v>
      </c>
      <c r="E230" s="1"/>
      <c r="F230" s="3"/>
      <c r="G230" s="1"/>
      <c r="H230">
        <v>240</v>
      </c>
    </row>
    <row r="231" spans="1:11" hidden="1" x14ac:dyDescent="0.25">
      <c r="A231" t="s">
        <v>0</v>
      </c>
      <c r="B231" t="s">
        <v>5</v>
      </c>
      <c r="C231">
        <v>19</v>
      </c>
      <c r="D231">
        <v>10</v>
      </c>
      <c r="E231" s="1"/>
      <c r="F231" s="3"/>
      <c r="G231" s="1"/>
      <c r="H231">
        <v>240</v>
      </c>
    </row>
    <row r="232" spans="1:11" hidden="1" x14ac:dyDescent="0.25">
      <c r="A232" t="s">
        <v>8</v>
      </c>
      <c r="B232" t="s">
        <v>1</v>
      </c>
      <c r="C232">
        <v>20</v>
      </c>
      <c r="D232">
        <v>10</v>
      </c>
      <c r="E232" s="1" cm="1">
        <f t="array" ref="E232">SUM(C232/C232:D236)/SUM(D232:D236)</f>
        <v>0.30105263157894735</v>
      </c>
      <c r="F232" s="3" cm="1">
        <f t="array" ref="F232">SUM(C232:C236*10)/(SUM($C$227:$C$251))</f>
        <v>2.0668058455114822</v>
      </c>
      <c r="G232" s="3">
        <f>(SUM(C232:C236)/100)*100</f>
        <v>99</v>
      </c>
      <c r="H232">
        <v>240</v>
      </c>
      <c r="I232">
        <f>AVERAGE(C232:C236)</f>
        <v>19.8</v>
      </c>
      <c r="J232">
        <f>_xlfn.STDEV.S(C232:C236)</f>
        <v>0.44721359549995793</v>
      </c>
      <c r="K232">
        <f>_xlfn.CONFIDENCE.NORM(0.05,J232,5)</f>
        <v>0.3919927969080107</v>
      </c>
    </row>
    <row r="233" spans="1:11" hidden="1" x14ac:dyDescent="0.25">
      <c r="A233" t="s">
        <v>8</v>
      </c>
      <c r="B233" t="s">
        <v>2</v>
      </c>
      <c r="C233">
        <v>20</v>
      </c>
      <c r="D233">
        <v>10</v>
      </c>
      <c r="E233" s="1"/>
      <c r="F233" s="3"/>
      <c r="G233" s="1"/>
      <c r="H233">
        <v>240</v>
      </c>
    </row>
    <row r="234" spans="1:11" hidden="1" x14ac:dyDescent="0.25">
      <c r="A234" t="s">
        <v>8</v>
      </c>
      <c r="B234" t="s">
        <v>3</v>
      </c>
      <c r="C234">
        <v>20</v>
      </c>
      <c r="D234">
        <v>10</v>
      </c>
      <c r="E234" s="1"/>
      <c r="F234" s="3"/>
      <c r="G234" s="1"/>
      <c r="H234">
        <v>240</v>
      </c>
    </row>
    <row r="235" spans="1:11" hidden="1" x14ac:dyDescent="0.25">
      <c r="A235" t="s">
        <v>8</v>
      </c>
      <c r="B235" t="s">
        <v>4</v>
      </c>
      <c r="C235">
        <v>20</v>
      </c>
      <c r="D235">
        <v>10</v>
      </c>
      <c r="E235" s="1"/>
      <c r="F235" s="3"/>
      <c r="G235" s="1"/>
      <c r="H235">
        <v>240</v>
      </c>
    </row>
    <row r="236" spans="1:11" hidden="1" x14ac:dyDescent="0.25">
      <c r="A236" t="s">
        <v>8</v>
      </c>
      <c r="B236" t="s">
        <v>5</v>
      </c>
      <c r="C236">
        <v>19</v>
      </c>
      <c r="D236">
        <v>10</v>
      </c>
      <c r="E236" s="1"/>
      <c r="F236" s="3"/>
      <c r="G236" s="1"/>
      <c r="H236">
        <v>240</v>
      </c>
    </row>
    <row r="237" spans="1:11" hidden="1" x14ac:dyDescent="0.25">
      <c r="A237" t="s">
        <v>9</v>
      </c>
      <c r="B237" t="s">
        <v>1</v>
      </c>
      <c r="C237">
        <v>19</v>
      </c>
      <c r="D237">
        <v>10</v>
      </c>
      <c r="E237" s="1" cm="1">
        <f t="array" ref="E237">SUM(C237/C237:D241)/SUM(D237:D241)</f>
        <v>0.2881111111111111</v>
      </c>
      <c r="F237" s="3" cm="1">
        <f t="array" ref="F237">SUM(C237:C241*10)/(SUM($C$227:$C$251))</f>
        <v>2.0250521920668056</v>
      </c>
      <c r="G237" s="3">
        <f>(SUM(C237:C241)/100)*100</f>
        <v>97</v>
      </c>
      <c r="H237">
        <v>240</v>
      </c>
      <c r="I237">
        <f>AVERAGE(C237:C241)</f>
        <v>19.399999999999999</v>
      </c>
      <c r="J237">
        <f>_xlfn.STDEV.S(C237:C241)</f>
        <v>0.89442719099991586</v>
      </c>
      <c r="K237">
        <f>_xlfn.CONFIDENCE.NORM(0.05,J237,5)</f>
        <v>0.7839855938160214</v>
      </c>
    </row>
    <row r="238" spans="1:11" hidden="1" x14ac:dyDescent="0.25">
      <c r="A238" t="s">
        <v>9</v>
      </c>
      <c r="B238" t="s">
        <v>2</v>
      </c>
      <c r="C238">
        <v>20</v>
      </c>
      <c r="D238">
        <v>10</v>
      </c>
      <c r="E238" s="1"/>
      <c r="F238" s="3"/>
      <c r="G238" s="1"/>
      <c r="H238">
        <v>240</v>
      </c>
    </row>
    <row r="239" spans="1:11" hidden="1" x14ac:dyDescent="0.25">
      <c r="A239" t="s">
        <v>9</v>
      </c>
      <c r="B239" t="s">
        <v>3</v>
      </c>
      <c r="C239">
        <v>20</v>
      </c>
      <c r="D239">
        <v>10</v>
      </c>
      <c r="E239" s="1"/>
      <c r="F239" s="3"/>
      <c r="G239" s="1"/>
      <c r="H239">
        <v>240</v>
      </c>
    </row>
    <row r="240" spans="1:11" hidden="1" x14ac:dyDescent="0.25">
      <c r="A240" t="s">
        <v>9</v>
      </c>
      <c r="B240" t="s">
        <v>4</v>
      </c>
      <c r="C240">
        <v>18</v>
      </c>
      <c r="D240">
        <v>10</v>
      </c>
      <c r="E240" s="1"/>
      <c r="F240" s="3"/>
      <c r="G240" s="1"/>
      <c r="H240">
        <v>240</v>
      </c>
    </row>
    <row r="241" spans="1:11" hidden="1" x14ac:dyDescent="0.25">
      <c r="A241" t="s">
        <v>9</v>
      </c>
      <c r="B241" t="s">
        <v>5</v>
      </c>
      <c r="C241">
        <v>20</v>
      </c>
      <c r="D241">
        <v>10</v>
      </c>
      <c r="E241" s="1"/>
      <c r="F241" s="3"/>
      <c r="G241" s="1"/>
      <c r="H241">
        <v>240</v>
      </c>
    </row>
    <row r="242" spans="1:11" hidden="1" x14ac:dyDescent="0.25">
      <c r="A242" t="s">
        <v>10</v>
      </c>
      <c r="B242" t="s">
        <v>1</v>
      </c>
      <c r="C242">
        <v>19</v>
      </c>
      <c r="D242">
        <v>10</v>
      </c>
      <c r="E242" s="1" cm="1">
        <f t="array" ref="E242">SUM(C242/C242:D246)/SUM(D242:D246)</f>
        <v>0.28900000000000003</v>
      </c>
      <c r="F242" s="3" cm="1">
        <f t="array" ref="F242">SUM(C242:C246*10)/(SUM($C$227:$C$251))</f>
        <v>2.0041753653444676</v>
      </c>
      <c r="G242" s="3">
        <f>(SUM(C242:C246)/100)*100</f>
        <v>96</v>
      </c>
      <c r="H242">
        <v>240</v>
      </c>
      <c r="I242">
        <f>AVERAGE(C242:C246)</f>
        <v>19.2</v>
      </c>
      <c r="J242">
        <f>_xlfn.STDEV.S(C242:C246)</f>
        <v>0.44721359549995793</v>
      </c>
      <c r="K242">
        <f>_xlfn.CONFIDENCE.NORM(0.05,J242,5)</f>
        <v>0.3919927969080107</v>
      </c>
    </row>
    <row r="243" spans="1:11" hidden="1" x14ac:dyDescent="0.25">
      <c r="A243" t="s">
        <v>10</v>
      </c>
      <c r="B243" t="s">
        <v>2</v>
      </c>
      <c r="C243">
        <v>19</v>
      </c>
      <c r="D243">
        <v>10</v>
      </c>
      <c r="E243" s="1"/>
      <c r="F243" s="3"/>
      <c r="G243" s="1"/>
      <c r="H243">
        <v>240</v>
      </c>
    </row>
    <row r="244" spans="1:11" hidden="1" x14ac:dyDescent="0.25">
      <c r="A244" t="s">
        <v>10</v>
      </c>
      <c r="B244" t="s">
        <v>3</v>
      </c>
      <c r="C244">
        <v>20</v>
      </c>
      <c r="D244">
        <v>10</v>
      </c>
      <c r="E244" s="1"/>
      <c r="F244" s="3"/>
      <c r="G244" s="1"/>
      <c r="H244">
        <v>240</v>
      </c>
    </row>
    <row r="245" spans="1:11" hidden="1" x14ac:dyDescent="0.25">
      <c r="A245" t="s">
        <v>10</v>
      </c>
      <c r="B245" t="s">
        <v>4</v>
      </c>
      <c r="C245">
        <v>19</v>
      </c>
      <c r="D245">
        <v>10</v>
      </c>
      <c r="E245" s="1"/>
      <c r="F245" s="3"/>
      <c r="G245" s="1"/>
      <c r="H245">
        <v>240</v>
      </c>
    </row>
    <row r="246" spans="1:11" hidden="1" x14ac:dyDescent="0.25">
      <c r="A246" t="s">
        <v>10</v>
      </c>
      <c r="B246" t="s">
        <v>5</v>
      </c>
      <c r="C246">
        <v>19</v>
      </c>
      <c r="D246">
        <v>10</v>
      </c>
      <c r="E246" s="1"/>
      <c r="F246" s="3"/>
      <c r="G246" s="1"/>
      <c r="H246">
        <v>240</v>
      </c>
    </row>
    <row r="247" spans="1:11" x14ac:dyDescent="0.25">
      <c r="A247" t="s">
        <v>11</v>
      </c>
      <c r="B247" t="s">
        <v>1</v>
      </c>
      <c r="C247">
        <v>18</v>
      </c>
      <c r="D247">
        <v>10</v>
      </c>
      <c r="E247" s="1" cm="1">
        <f t="array" ref="E247">SUM(C247/C247:D251)/SUM(D247:D251)</f>
        <v>0.27650000000000008</v>
      </c>
      <c r="F247" s="3" cm="1">
        <f t="array" ref="F247">SUM(C247:C251*10)/(SUM($C$227:$C$251))</f>
        <v>1.9624217118997913</v>
      </c>
      <c r="G247" s="3">
        <f>(SUM(C247:C251)/100)*100</f>
        <v>94</v>
      </c>
      <c r="H247">
        <v>240</v>
      </c>
      <c r="I247">
        <f>AVERAGE(C247:C251)</f>
        <v>18.8</v>
      </c>
      <c r="J247">
        <f>_xlfn.STDEV.S(C247:C251)</f>
        <v>1.7888543819998317</v>
      </c>
      <c r="K247">
        <f>_xlfn.CONFIDENCE.NORM(0.05,J247,5)</f>
        <v>1.5679711876320428</v>
      </c>
    </row>
    <row r="248" spans="1:11" x14ac:dyDescent="0.25">
      <c r="A248" t="s">
        <v>11</v>
      </c>
      <c r="B248" t="s">
        <v>2</v>
      </c>
      <c r="C248">
        <v>20</v>
      </c>
      <c r="D248">
        <v>10</v>
      </c>
      <c r="H248">
        <v>240</v>
      </c>
    </row>
    <row r="249" spans="1:11" x14ac:dyDescent="0.25">
      <c r="A249" t="s">
        <v>11</v>
      </c>
      <c r="B249" t="s">
        <v>3</v>
      </c>
      <c r="C249">
        <v>20</v>
      </c>
      <c r="D249">
        <v>10</v>
      </c>
      <c r="H249">
        <v>240</v>
      </c>
    </row>
    <row r="250" spans="1:11" x14ac:dyDescent="0.25">
      <c r="A250" t="s">
        <v>11</v>
      </c>
      <c r="B250" t="s">
        <v>4</v>
      </c>
      <c r="C250">
        <v>20</v>
      </c>
      <c r="D250">
        <v>10</v>
      </c>
      <c r="H250">
        <v>240</v>
      </c>
    </row>
    <row r="251" spans="1:11" x14ac:dyDescent="0.25">
      <c r="A251" t="s">
        <v>11</v>
      </c>
      <c r="B251" t="s">
        <v>5</v>
      </c>
      <c r="C251">
        <v>16</v>
      </c>
      <c r="D251">
        <v>10</v>
      </c>
      <c r="H251">
        <v>240</v>
      </c>
    </row>
    <row r="252" spans="1:11" hidden="1" x14ac:dyDescent="0.25"/>
  </sheetData>
  <autoFilter ref="A1:H252" xr:uid="{F661D465-15AF-495E-A76D-3368E349485B}">
    <filterColumn colId="0">
      <filters>
        <filter val="ÁGUA DESTILADA"/>
      </filters>
    </filterColumn>
  </autoFilter>
  <mergeCells count="1">
    <mergeCell ref="O6:Q6"/>
  </mergeCells>
  <pageMargins left="0.511811024" right="0.511811024" top="0.78740157499999996" bottom="0.78740157499999996" header="0.31496062000000002" footer="0.31496062000000002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Everaldo Fontes</dc:creator>
  <cp:lastModifiedBy>Diego Vidal Santos</cp:lastModifiedBy>
  <dcterms:created xsi:type="dcterms:W3CDTF">2025-01-26T23:13:41Z</dcterms:created>
  <dcterms:modified xsi:type="dcterms:W3CDTF">2025-02-17T14:45:03Z</dcterms:modified>
</cp:coreProperties>
</file>