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1 - DADOS/1 - TESTE FITOTOXIDADE/"/>
    </mc:Choice>
  </mc:AlternateContent>
  <xr:revisionPtr revIDLastSave="535" documentId="8_{F11D8AB6-B6E0-4084-B26F-41A3023167BA}" xr6:coauthVersionLast="47" xr6:coauthVersionMax="47" xr10:uidLastSave="{59D184E0-C0C9-453D-8D8B-721B8E182353}"/>
  <bookViews>
    <workbookView xWindow="-108" yWindow="-108" windowWidth="23256" windowHeight="12456" firstSheet="2" activeTab="2" xr2:uid="{8C29C322-8872-42FA-A2C4-293897B84208}"/>
  </bookViews>
  <sheets>
    <sheet name="PRIMEIRO ENSAIO" sheetId="3" r:id="rId1"/>
    <sheet name="TERCEIRO ENSAIO" sheetId="4" r:id="rId2"/>
    <sheet name="COMPRIMENTO AEREO" sheetId="5" r:id="rId3"/>
    <sheet name="INIBICAO RAIZ" sheetId="7" r:id="rId4"/>
    <sheet name="COMPRIMENTO RAIZ" sheetId="6" r:id="rId5"/>
    <sheet name="INIBIÇÃO AEREA" sheetId="8" r:id="rId6"/>
    <sheet name="INIBIÇÃO" sheetId="9" r:id="rId7"/>
  </sheets>
  <definedNames>
    <definedName name="_xlnm._FilterDatabase" localSheetId="0" hidden="1">'PRIMEIRO ENSAIO'!$A$1:$E$341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4" i="4" l="1"/>
  <c r="M79" i="4"/>
  <c r="G2" i="4"/>
  <c r="I2" i="4" s="1"/>
  <c r="H2" i="4"/>
  <c r="J2" i="4"/>
  <c r="I86" i="4"/>
  <c r="I108" i="4"/>
  <c r="I109" i="4"/>
  <c r="I117" i="4"/>
  <c r="I125" i="4"/>
  <c r="I145" i="4"/>
  <c r="I152" i="4"/>
  <c r="I153" i="4"/>
  <c r="I160" i="4"/>
  <c r="I161" i="4"/>
  <c r="I168" i="4"/>
  <c r="I169" i="4"/>
  <c r="I27" i="4"/>
  <c r="I19" i="4"/>
  <c r="I11" i="4"/>
  <c r="I3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33" i="4"/>
  <c r="H134" i="4"/>
  <c r="H135" i="4"/>
  <c r="H136" i="4"/>
  <c r="H137" i="4"/>
  <c r="H138" i="4"/>
  <c r="H139" i="4"/>
  <c r="H140" i="4"/>
  <c r="H141" i="4"/>
  <c r="H142" i="4"/>
  <c r="H143" i="4"/>
  <c r="H175" i="4"/>
  <c r="H176" i="4"/>
  <c r="H177" i="4"/>
  <c r="H178" i="4"/>
  <c r="H179" i="4"/>
  <c r="H180" i="4"/>
  <c r="H181" i="4"/>
  <c r="H182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44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0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7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145" i="4"/>
  <c r="G146" i="4"/>
  <c r="I146" i="4" s="1"/>
  <c r="G147" i="4"/>
  <c r="I147" i="4" s="1"/>
  <c r="G148" i="4"/>
  <c r="I148" i="4" s="1"/>
  <c r="G149" i="4"/>
  <c r="I149" i="4" s="1"/>
  <c r="G150" i="4"/>
  <c r="I150" i="4" s="1"/>
  <c r="G151" i="4"/>
  <c r="I151" i="4" s="1"/>
  <c r="G152" i="4"/>
  <c r="G153" i="4"/>
  <c r="G154" i="4"/>
  <c r="I154" i="4" s="1"/>
  <c r="G155" i="4"/>
  <c r="I155" i="4" s="1"/>
  <c r="G156" i="4"/>
  <c r="I156" i="4" s="1"/>
  <c r="G157" i="4"/>
  <c r="I157" i="4" s="1"/>
  <c r="G158" i="4"/>
  <c r="I158" i="4" s="1"/>
  <c r="G159" i="4"/>
  <c r="I159" i="4" s="1"/>
  <c r="G160" i="4"/>
  <c r="G161" i="4"/>
  <c r="G162" i="4"/>
  <c r="I162" i="4" s="1"/>
  <c r="G163" i="4"/>
  <c r="I163" i="4" s="1"/>
  <c r="G164" i="4"/>
  <c r="I164" i="4" s="1"/>
  <c r="G165" i="4"/>
  <c r="I165" i="4" s="1"/>
  <c r="G166" i="4"/>
  <c r="I166" i="4" s="1"/>
  <c r="G167" i="4"/>
  <c r="I167" i="4" s="1"/>
  <c r="G168" i="4"/>
  <c r="G169" i="4"/>
  <c r="G170" i="4"/>
  <c r="I170" i="4" s="1"/>
  <c r="G171" i="4"/>
  <c r="I171" i="4" s="1"/>
  <c r="G172" i="4"/>
  <c r="I172" i="4" s="1"/>
  <c r="G173" i="4"/>
  <c r="I173" i="4" s="1"/>
  <c r="G174" i="4"/>
  <c r="I174" i="4" s="1"/>
  <c r="G144" i="4"/>
  <c r="I144" i="4" s="1"/>
  <c r="G109" i="4"/>
  <c r="G110" i="4"/>
  <c r="I110" i="4" s="1"/>
  <c r="G111" i="4"/>
  <c r="I111" i="4" s="1"/>
  <c r="G112" i="4"/>
  <c r="I112" i="4" s="1"/>
  <c r="G113" i="4"/>
  <c r="I113" i="4" s="1"/>
  <c r="G114" i="4"/>
  <c r="I114" i="4" s="1"/>
  <c r="G115" i="4"/>
  <c r="I115" i="4" s="1"/>
  <c r="G116" i="4"/>
  <c r="I116" i="4" s="1"/>
  <c r="G117" i="4"/>
  <c r="G118" i="4"/>
  <c r="I118" i="4" s="1"/>
  <c r="G119" i="4"/>
  <c r="I119" i="4" s="1"/>
  <c r="G120" i="4"/>
  <c r="I120" i="4" s="1"/>
  <c r="G121" i="4"/>
  <c r="I121" i="4" s="1"/>
  <c r="G122" i="4"/>
  <c r="I122" i="4" s="1"/>
  <c r="G123" i="4"/>
  <c r="I123" i="4" s="1"/>
  <c r="G124" i="4"/>
  <c r="I124" i="4" s="1"/>
  <c r="G125" i="4"/>
  <c r="G126" i="4"/>
  <c r="I126" i="4" s="1"/>
  <c r="G127" i="4"/>
  <c r="I127" i="4" s="1"/>
  <c r="G128" i="4"/>
  <c r="I128" i="4" s="1"/>
  <c r="G129" i="4"/>
  <c r="I129" i="4" s="1"/>
  <c r="G130" i="4"/>
  <c r="I130" i="4" s="1"/>
  <c r="G131" i="4"/>
  <c r="I131" i="4" s="1"/>
  <c r="G132" i="4"/>
  <c r="I132" i="4" s="1"/>
  <c r="G108" i="4"/>
  <c r="G79" i="4"/>
  <c r="I79" i="4" s="1"/>
  <c r="G80" i="4"/>
  <c r="I80" i="4" s="1"/>
  <c r="G81" i="4"/>
  <c r="I81" i="4" s="1"/>
  <c r="G82" i="4"/>
  <c r="I82" i="4" s="1"/>
  <c r="G84" i="4"/>
  <c r="I84" i="4" s="1"/>
  <c r="G85" i="4"/>
  <c r="I85" i="4" s="1"/>
  <c r="G86" i="4"/>
  <c r="G87" i="4"/>
  <c r="I87" i="4" s="1"/>
  <c r="G88" i="4"/>
  <c r="I88" i="4" s="1"/>
  <c r="G89" i="4"/>
  <c r="I89" i="4" s="1"/>
  <c r="G90" i="4"/>
  <c r="I90" i="4" s="1"/>
  <c r="G91" i="4"/>
  <c r="I91" i="4" s="1"/>
  <c r="G92" i="4"/>
  <c r="I92" i="4" s="1"/>
  <c r="G78" i="4"/>
  <c r="I78" i="4" s="1"/>
  <c r="G3" i="4"/>
  <c r="G4" i="4"/>
  <c r="I4" i="4" s="1"/>
  <c r="G5" i="4"/>
  <c r="I5" i="4" s="1"/>
  <c r="G6" i="4"/>
  <c r="I6" i="4" s="1"/>
  <c r="G7" i="4"/>
  <c r="I7" i="4" s="1"/>
  <c r="G8" i="4"/>
  <c r="I8" i="4" s="1"/>
  <c r="G9" i="4"/>
  <c r="I9" i="4" s="1"/>
  <c r="G10" i="4"/>
  <c r="I10" i="4" s="1"/>
  <c r="G11" i="4"/>
  <c r="G12" i="4"/>
  <c r="I12" i="4" s="1"/>
  <c r="G13" i="4"/>
  <c r="I13" i="4" s="1"/>
  <c r="G14" i="4"/>
  <c r="I14" i="4" s="1"/>
  <c r="G15" i="4"/>
  <c r="I15" i="4" s="1"/>
  <c r="G16" i="4"/>
  <c r="I16" i="4" s="1"/>
  <c r="G17" i="4"/>
  <c r="I17" i="4" s="1"/>
  <c r="G18" i="4"/>
  <c r="I18" i="4" s="1"/>
  <c r="G19" i="4"/>
  <c r="G20" i="4"/>
  <c r="I20" i="4" s="1"/>
  <c r="G21" i="4"/>
  <c r="I21" i="4" s="1"/>
  <c r="G22" i="4"/>
  <c r="I22" i="4" s="1"/>
  <c r="G23" i="4"/>
  <c r="I23" i="4" s="1"/>
  <c r="G24" i="4"/>
  <c r="I24" i="4" s="1"/>
  <c r="G25" i="4"/>
  <c r="I25" i="4" s="1"/>
  <c r="G26" i="4"/>
  <c r="I26" i="4" s="1"/>
  <c r="G27" i="4"/>
  <c r="G83" i="4" l="1"/>
  <c r="I83" i="4" s="1"/>
</calcChain>
</file>

<file path=xl/sharedStrings.xml><?xml version="1.0" encoding="utf-8"?>
<sst xmlns="http://schemas.openxmlformats.org/spreadsheetml/2006/main" count="1117" uniqueCount="28">
  <si>
    <t>Tratamento</t>
  </si>
  <si>
    <t>Repetição</t>
  </si>
  <si>
    <t>Ensaio</t>
  </si>
  <si>
    <t>Comprimento plantula (mm)</t>
  </si>
  <si>
    <t>Comprimento radícula (mm)</t>
  </si>
  <si>
    <t>FOLHA</t>
  </si>
  <si>
    <t>50_50</t>
  </si>
  <si>
    <t>SEM SOLVENTE</t>
  </si>
  <si>
    <t>CONTROLE</t>
  </si>
  <si>
    <t>PURA</t>
  </si>
  <si>
    <t>SO FOLHA</t>
  </si>
  <si>
    <t>REPETIÇÃO</t>
  </si>
  <si>
    <t>ENSAIO</t>
  </si>
  <si>
    <t>VARIÁVEL</t>
  </si>
  <si>
    <t>COMPRIMENTO PLÁNTULA</t>
  </si>
  <si>
    <t>COMPRIMENTO RAIZ</t>
  </si>
  <si>
    <t>N1</t>
  </si>
  <si>
    <t>N2</t>
  </si>
  <si>
    <t>N4</t>
  </si>
  <si>
    <t>N3</t>
  </si>
  <si>
    <t>Controle</t>
  </si>
  <si>
    <t>AÉREA</t>
  </si>
  <si>
    <t>RADÍCULA</t>
  </si>
  <si>
    <t>RAIZ</t>
  </si>
  <si>
    <t>EXTRATO</t>
  </si>
  <si>
    <t>%</t>
  </si>
  <si>
    <t>PARTE</t>
  </si>
  <si>
    <t>INIBIÇÃO RAIZ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</si>
</sst>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18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2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65" fontId="19" fillId="0" borderId="0" xfId="0" applyNumberFormat="1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justify" vertical="center"/>
    </xf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38DA-5666-4840-B319-23C0D4DF24ED}">
  <dimension ref="A1:E341"/>
  <sheetViews>
    <sheetView zoomScale="70" zoomScaleNormal="70" workbookViewId="0">
      <selection activeCell="E2" sqref="E2"/>
    </sheetView>
  </sheetViews>
  <sheetFormatPr defaultColWidth="8.88671875" defaultRowHeight="14.4" x14ac:dyDescent="0.3"/>
  <cols>
    <col min="1" max="2" width="8.88671875" style="5"/>
    <col min="3" max="3" width="13.44140625" style="5" bestFit="1" customWidth="1"/>
    <col min="4" max="4" width="23.6640625" style="6" bestFit="1" customWidth="1"/>
    <col min="5" max="5" width="28" style="6" bestFit="1" customWidth="1"/>
    <col min="6" max="6" width="8.88671875" style="5"/>
    <col min="7" max="7" width="18.6640625" style="5" customWidth="1"/>
    <col min="8" max="16384" width="8.88671875" style="5"/>
  </cols>
  <sheetData>
    <row r="1" spans="1:5" x14ac:dyDescent="0.3">
      <c r="A1" s="5" t="s">
        <v>1</v>
      </c>
      <c r="B1" s="5" t="s">
        <v>2</v>
      </c>
      <c r="C1" s="5" t="s">
        <v>0</v>
      </c>
      <c r="D1" s="6" t="s">
        <v>3</v>
      </c>
      <c r="E1" s="6" t="s">
        <v>4</v>
      </c>
    </row>
    <row r="2" spans="1:5" x14ac:dyDescent="0.3">
      <c r="A2" s="5">
        <v>1</v>
      </c>
      <c r="B2" s="5">
        <v>1</v>
      </c>
      <c r="C2" s="5" t="s">
        <v>5</v>
      </c>
      <c r="D2" s="1">
        <v>5.4290000000000003</v>
      </c>
      <c r="E2" s="1">
        <v>6.742</v>
      </c>
    </row>
    <row r="3" spans="1:5" x14ac:dyDescent="0.3">
      <c r="A3" s="5">
        <v>2</v>
      </c>
      <c r="B3" s="5">
        <v>1</v>
      </c>
      <c r="C3" s="5" t="s">
        <v>5</v>
      </c>
      <c r="D3" s="1">
        <v>4.0730000000000004</v>
      </c>
      <c r="E3" s="1">
        <v>5.5720000000000001</v>
      </c>
    </row>
    <row r="4" spans="1:5" x14ac:dyDescent="0.3">
      <c r="A4" s="5">
        <v>3</v>
      </c>
      <c r="B4" s="5">
        <v>1</v>
      </c>
      <c r="C4" s="5" t="s">
        <v>5</v>
      </c>
      <c r="D4" s="1">
        <v>4.4039999999999999</v>
      </c>
      <c r="E4" s="1">
        <v>6.1580000000000004</v>
      </c>
    </row>
    <row r="5" spans="1:5" x14ac:dyDescent="0.3">
      <c r="A5" s="5">
        <v>4</v>
      </c>
      <c r="B5" s="5">
        <v>1</v>
      </c>
      <c r="C5" s="5" t="s">
        <v>5</v>
      </c>
      <c r="D5" s="1">
        <v>5.7249999999999996</v>
      </c>
      <c r="E5" s="1">
        <v>7.6420000000000003</v>
      </c>
    </row>
    <row r="6" spans="1:5" x14ac:dyDescent="0.3">
      <c r="A6" s="5">
        <v>5</v>
      </c>
      <c r="B6" s="5">
        <v>1</v>
      </c>
      <c r="C6" s="5" t="s">
        <v>5</v>
      </c>
      <c r="D6" s="1">
        <v>8.01</v>
      </c>
      <c r="E6" s="1">
        <v>4.806</v>
      </c>
    </row>
    <row r="7" spans="1:5" x14ac:dyDescent="0.3">
      <c r="A7" s="5">
        <v>6</v>
      </c>
      <c r="B7" s="5">
        <v>1</v>
      </c>
      <c r="C7" s="5" t="s">
        <v>5</v>
      </c>
      <c r="D7" s="1">
        <v>6.9480000000000004</v>
      </c>
      <c r="E7" s="1">
        <v>8.0839999999999996</v>
      </c>
    </row>
    <row r="8" spans="1:5" x14ac:dyDescent="0.3">
      <c r="A8" s="5">
        <v>7</v>
      </c>
      <c r="B8" s="5">
        <v>1</v>
      </c>
      <c r="C8" s="5" t="s">
        <v>5</v>
      </c>
      <c r="D8" s="1">
        <v>2.665</v>
      </c>
      <c r="E8" s="1">
        <v>5.2469999999999999</v>
      </c>
    </row>
    <row r="9" spans="1:5" x14ac:dyDescent="0.3">
      <c r="A9" s="5">
        <v>8</v>
      </c>
      <c r="B9" s="5">
        <v>1</v>
      </c>
      <c r="C9" s="5" t="s">
        <v>5</v>
      </c>
      <c r="D9" s="1">
        <v>5.3879999999999999</v>
      </c>
      <c r="E9" s="1">
        <v>5.2469999999999999</v>
      </c>
    </row>
    <row r="10" spans="1:5" x14ac:dyDescent="0.3">
      <c r="A10" s="5">
        <v>9</v>
      </c>
      <c r="B10" s="5">
        <v>1</v>
      </c>
      <c r="C10" s="5" t="s">
        <v>5</v>
      </c>
      <c r="D10" s="1">
        <v>5.3879999999999999</v>
      </c>
      <c r="E10" s="1">
        <v>6.4889999999999999</v>
      </c>
    </row>
    <row r="11" spans="1:5" x14ac:dyDescent="0.3">
      <c r="A11" s="5">
        <v>10</v>
      </c>
      <c r="B11" s="5">
        <v>1</v>
      </c>
      <c r="C11" s="5" t="s">
        <v>5</v>
      </c>
      <c r="D11" s="1">
        <v>6.11</v>
      </c>
      <c r="E11" s="1">
        <v>11.888</v>
      </c>
    </row>
    <row r="12" spans="1:5" x14ac:dyDescent="0.3">
      <c r="A12" s="5">
        <v>11</v>
      </c>
      <c r="B12" s="5">
        <v>1</v>
      </c>
      <c r="C12" s="5" t="s">
        <v>5</v>
      </c>
      <c r="D12" s="1">
        <v>8.5020000000000007</v>
      </c>
      <c r="E12" s="1">
        <v>7.3639999999999999</v>
      </c>
    </row>
    <row r="13" spans="1:5" x14ac:dyDescent="0.3">
      <c r="A13" s="5">
        <v>12</v>
      </c>
      <c r="B13" s="5">
        <v>1</v>
      </c>
      <c r="C13" s="5" t="s">
        <v>5</v>
      </c>
      <c r="D13" s="1">
        <v>6.2670000000000003</v>
      </c>
      <c r="E13" s="1">
        <v>9.8089999999999993</v>
      </c>
    </row>
    <row r="14" spans="1:5" x14ac:dyDescent="0.3">
      <c r="A14" s="5">
        <v>13</v>
      </c>
      <c r="B14" s="5">
        <v>1</v>
      </c>
      <c r="C14" s="5" t="s">
        <v>5</v>
      </c>
      <c r="D14" s="1">
        <v>6.2670000000000003</v>
      </c>
      <c r="E14" s="1">
        <v>5.7160000000000002</v>
      </c>
    </row>
    <row r="15" spans="1:5" x14ac:dyDescent="0.3">
      <c r="A15" s="5">
        <v>14</v>
      </c>
      <c r="B15" s="5">
        <v>1</v>
      </c>
      <c r="C15" s="5" t="s">
        <v>5</v>
      </c>
      <c r="D15" s="1">
        <v>7.0419999999999998</v>
      </c>
      <c r="E15" s="1">
        <v>6.5369999999999999</v>
      </c>
    </row>
    <row r="16" spans="1:5" x14ac:dyDescent="0.3">
      <c r="A16" s="5">
        <v>15</v>
      </c>
      <c r="B16" s="5">
        <v>1</v>
      </c>
      <c r="C16" s="5" t="s">
        <v>5</v>
      </c>
      <c r="D16" s="1">
        <v>4.2190000000000003</v>
      </c>
      <c r="E16" s="1">
        <v>5.79</v>
      </c>
    </row>
    <row r="17" spans="1:5" x14ac:dyDescent="0.3">
      <c r="A17" s="5">
        <v>16</v>
      </c>
      <c r="B17" s="5">
        <v>1</v>
      </c>
      <c r="C17" s="5" t="s">
        <v>5</v>
      </c>
      <c r="D17" s="1">
        <v>4.1779999999999999</v>
      </c>
      <c r="E17" s="1">
        <v>1.5680000000000001</v>
      </c>
    </row>
    <row r="18" spans="1:5" x14ac:dyDescent="0.3">
      <c r="A18" s="5">
        <v>17</v>
      </c>
      <c r="B18" s="5">
        <v>1</v>
      </c>
      <c r="C18" s="5" t="s">
        <v>5</v>
      </c>
      <c r="D18" s="1">
        <v>2.984</v>
      </c>
      <c r="E18" s="1">
        <v>4.9329999999999998</v>
      </c>
    </row>
    <row r="19" spans="1:5" x14ac:dyDescent="0.3">
      <c r="A19" s="5">
        <v>18</v>
      </c>
      <c r="B19" s="5">
        <v>1</v>
      </c>
      <c r="C19" s="5" t="s">
        <v>5</v>
      </c>
      <c r="D19" s="1">
        <v>5.1950000000000003</v>
      </c>
      <c r="E19" s="1">
        <v>4.0229999999999997</v>
      </c>
    </row>
    <row r="20" spans="1:5" x14ac:dyDescent="0.3">
      <c r="A20" s="5">
        <v>19</v>
      </c>
      <c r="B20" s="5">
        <v>1</v>
      </c>
      <c r="C20" s="5" t="s">
        <v>5</v>
      </c>
      <c r="D20" s="1">
        <v>4.4080000000000004</v>
      </c>
      <c r="E20" s="1">
        <v>9.2159999999999993</v>
      </c>
    </row>
    <row r="21" spans="1:5" x14ac:dyDescent="0.3">
      <c r="A21" s="5">
        <v>20</v>
      </c>
      <c r="B21" s="5">
        <v>1</v>
      </c>
      <c r="C21" s="5" t="s">
        <v>5</v>
      </c>
      <c r="D21" s="1">
        <v>4.7889999999999997</v>
      </c>
      <c r="E21" s="1">
        <v>2.8530000000000002</v>
      </c>
    </row>
    <row r="22" spans="1:5" x14ac:dyDescent="0.3">
      <c r="A22" s="5">
        <v>21</v>
      </c>
      <c r="B22" s="5">
        <v>1</v>
      </c>
      <c r="C22" s="5" t="s">
        <v>5</v>
      </c>
      <c r="D22" s="1">
        <v>5.2549999999999999</v>
      </c>
      <c r="E22" s="1">
        <v>2.8530000000000002</v>
      </c>
    </row>
    <row r="23" spans="1:5" x14ac:dyDescent="0.3">
      <c r="A23" s="5">
        <v>22</v>
      </c>
      <c r="B23" s="5">
        <v>1</v>
      </c>
      <c r="C23" s="5" t="s">
        <v>5</v>
      </c>
      <c r="D23" s="1">
        <v>3.4089999999999998</v>
      </c>
      <c r="E23" s="1">
        <v>0</v>
      </c>
    </row>
    <row r="24" spans="1:5" x14ac:dyDescent="0.3">
      <c r="A24" s="5">
        <v>1</v>
      </c>
      <c r="B24" s="5">
        <v>1</v>
      </c>
      <c r="C24" s="5" t="s">
        <v>6</v>
      </c>
      <c r="D24" s="1">
        <v>5.4169999999999998</v>
      </c>
      <c r="E24" s="7">
        <v>270.70800000000003</v>
      </c>
    </row>
    <row r="25" spans="1:5" x14ac:dyDescent="0.3">
      <c r="A25" s="5">
        <v>2</v>
      </c>
      <c r="B25" s="5">
        <v>1</v>
      </c>
      <c r="C25" s="5" t="s">
        <v>6</v>
      </c>
      <c r="D25" s="1">
        <v>9.6720000000000006</v>
      </c>
      <c r="E25" s="1">
        <v>89.664000000000001</v>
      </c>
    </row>
    <row r="26" spans="1:5" x14ac:dyDescent="0.3">
      <c r="A26" s="5">
        <v>3</v>
      </c>
      <c r="B26" s="5">
        <v>1</v>
      </c>
      <c r="C26" s="5" t="s">
        <v>6</v>
      </c>
      <c r="D26" s="1">
        <v>7.8339999999999996</v>
      </c>
      <c r="E26" s="1">
        <v>257.31200000000001</v>
      </c>
    </row>
    <row r="27" spans="1:5" x14ac:dyDescent="0.3">
      <c r="A27" s="5">
        <v>4</v>
      </c>
      <c r="B27" s="5">
        <v>1</v>
      </c>
      <c r="C27" s="5" t="s">
        <v>6</v>
      </c>
      <c r="D27" s="1">
        <v>21.664999999999999</v>
      </c>
      <c r="E27" s="1">
        <v>191.72</v>
      </c>
    </row>
    <row r="28" spans="1:5" x14ac:dyDescent="0.3">
      <c r="A28" s="5">
        <v>5</v>
      </c>
      <c r="B28" s="5">
        <v>1</v>
      </c>
      <c r="C28" s="5" t="s">
        <v>6</v>
      </c>
      <c r="D28" s="1">
        <v>10.599</v>
      </c>
      <c r="E28" s="1">
        <v>99.491</v>
      </c>
    </row>
    <row r="29" spans="1:5" x14ac:dyDescent="0.3">
      <c r="A29" s="5">
        <v>6</v>
      </c>
      <c r="B29" s="5">
        <v>1</v>
      </c>
      <c r="C29" s="5" t="s">
        <v>6</v>
      </c>
      <c r="D29" s="1">
        <v>8.8219999999999992</v>
      </c>
      <c r="E29" s="1">
        <v>194.18700000000001</v>
      </c>
    </row>
    <row r="30" spans="1:5" x14ac:dyDescent="0.3">
      <c r="A30" s="5">
        <v>7</v>
      </c>
      <c r="B30" s="5">
        <v>1</v>
      </c>
      <c r="C30" s="5" t="s">
        <v>6</v>
      </c>
      <c r="D30" s="1">
        <v>6.673</v>
      </c>
      <c r="E30" s="1">
        <v>94.105999999999995</v>
      </c>
    </row>
    <row r="31" spans="1:5" x14ac:dyDescent="0.3">
      <c r="A31" s="5">
        <v>8</v>
      </c>
      <c r="B31" s="5">
        <v>1</v>
      </c>
      <c r="C31" s="5" t="s">
        <v>6</v>
      </c>
      <c r="D31" s="1">
        <v>8.1289999999999996</v>
      </c>
      <c r="E31" s="1">
        <v>104.623</v>
      </c>
    </row>
    <row r="32" spans="1:5" x14ac:dyDescent="0.3">
      <c r="A32" s="5">
        <v>9</v>
      </c>
      <c r="B32" s="5">
        <v>1</v>
      </c>
      <c r="C32" s="5" t="s">
        <v>6</v>
      </c>
      <c r="D32" s="1">
        <v>5.5670000000000002</v>
      </c>
      <c r="E32" s="1">
        <v>173.87</v>
      </c>
    </row>
    <row r="33" spans="1:5" x14ac:dyDescent="0.3">
      <c r="A33" s="5">
        <v>10</v>
      </c>
      <c r="B33" s="5">
        <v>1</v>
      </c>
      <c r="C33" s="5" t="s">
        <v>6</v>
      </c>
      <c r="D33" s="1">
        <v>14.481</v>
      </c>
      <c r="E33" s="1">
        <v>210.21799999999999</v>
      </c>
    </row>
    <row r="34" spans="1:5" x14ac:dyDescent="0.3">
      <c r="A34" s="5">
        <v>11</v>
      </c>
      <c r="B34" s="5">
        <v>1</v>
      </c>
      <c r="C34" s="5" t="s">
        <v>6</v>
      </c>
      <c r="D34" s="1">
        <v>9.9770000000000003</v>
      </c>
      <c r="E34" s="1">
        <v>131.11699999999999</v>
      </c>
    </row>
    <row r="35" spans="1:5" x14ac:dyDescent="0.3">
      <c r="A35" s="5">
        <v>12</v>
      </c>
      <c r="B35" s="5">
        <v>1</v>
      </c>
      <c r="C35" s="5" t="s">
        <v>6</v>
      </c>
      <c r="D35" s="1">
        <v>4.9470000000000001</v>
      </c>
      <c r="E35" s="1">
        <v>235.97</v>
      </c>
    </row>
    <row r="36" spans="1:5" x14ac:dyDescent="0.3">
      <c r="A36" s="5">
        <v>13</v>
      </c>
      <c r="B36" s="5">
        <v>1</v>
      </c>
      <c r="C36" s="5" t="s">
        <v>6</v>
      </c>
      <c r="D36" s="1">
        <v>13.38</v>
      </c>
      <c r="E36" s="1">
        <v>241.732</v>
      </c>
    </row>
    <row r="37" spans="1:5" x14ac:dyDescent="0.3">
      <c r="A37" s="5">
        <v>14</v>
      </c>
      <c r="B37" s="5">
        <v>1</v>
      </c>
      <c r="C37" s="5" t="s">
        <v>6</v>
      </c>
      <c r="D37" s="1">
        <v>9.0760000000000005</v>
      </c>
      <c r="E37" s="1">
        <v>96.058999999999997</v>
      </c>
    </row>
    <row r="38" spans="1:5" x14ac:dyDescent="0.3">
      <c r="A38" s="5">
        <v>15</v>
      </c>
      <c r="B38" s="5">
        <v>1</v>
      </c>
      <c r="C38" s="5" t="s">
        <v>6</v>
      </c>
      <c r="D38" s="1">
        <v>7.391</v>
      </c>
      <c r="E38" s="1">
        <v>287.24799999999999</v>
      </c>
    </row>
    <row r="39" spans="1:5" x14ac:dyDescent="0.3">
      <c r="A39" s="5">
        <v>16</v>
      </c>
      <c r="B39" s="5">
        <v>1</v>
      </c>
      <c r="C39" s="5" t="s">
        <v>6</v>
      </c>
      <c r="D39" s="1">
        <v>9.4410000000000007</v>
      </c>
      <c r="E39" s="1">
        <v>226.97900000000001</v>
      </c>
    </row>
    <row r="40" spans="1:5" x14ac:dyDescent="0.3">
      <c r="A40" s="5">
        <v>17</v>
      </c>
      <c r="B40" s="5">
        <v>1</v>
      </c>
      <c r="C40" s="5" t="s">
        <v>6</v>
      </c>
      <c r="D40" s="1">
        <v>10.855</v>
      </c>
      <c r="E40" s="1">
        <v>166.11699999999999</v>
      </c>
    </row>
    <row r="41" spans="1:5" x14ac:dyDescent="0.3">
      <c r="A41" s="5">
        <v>18</v>
      </c>
      <c r="B41" s="5">
        <v>1</v>
      </c>
      <c r="C41" s="5" t="s">
        <v>6</v>
      </c>
      <c r="D41" s="1">
        <v>13.487</v>
      </c>
      <c r="E41" s="1">
        <v>60.71</v>
      </c>
    </row>
    <row r="42" spans="1:5" x14ac:dyDescent="0.3">
      <c r="A42" s="5">
        <v>19</v>
      </c>
      <c r="B42" s="5">
        <v>1</v>
      </c>
      <c r="C42" s="5" t="s">
        <v>6</v>
      </c>
      <c r="D42" s="1">
        <v>8.8369999999999997</v>
      </c>
      <c r="E42" s="1">
        <v>205.02699999999999</v>
      </c>
    </row>
    <row r="43" spans="1:5" x14ac:dyDescent="0.3">
      <c r="A43" s="5">
        <v>20</v>
      </c>
      <c r="B43" s="5">
        <v>1</v>
      </c>
      <c r="C43" s="5" t="s">
        <v>6</v>
      </c>
      <c r="D43" s="1">
        <v>10.259</v>
      </c>
      <c r="E43" s="1">
        <v>103.61199999999999</v>
      </c>
    </row>
    <row r="44" spans="1:5" x14ac:dyDescent="0.3">
      <c r="A44" s="5">
        <v>21</v>
      </c>
      <c r="B44" s="5">
        <v>1</v>
      </c>
      <c r="C44" s="5" t="s">
        <v>6</v>
      </c>
      <c r="D44" s="1">
        <v>8.7490000000000006</v>
      </c>
      <c r="E44" s="1">
        <v>153.678</v>
      </c>
    </row>
    <row r="45" spans="1:5" x14ac:dyDescent="0.3">
      <c r="A45" s="5">
        <v>22</v>
      </c>
      <c r="B45" s="5">
        <v>1</v>
      </c>
      <c r="C45" s="5" t="s">
        <v>6</v>
      </c>
      <c r="D45" s="1">
        <v>11.138</v>
      </c>
      <c r="E45" s="1">
        <v>157.55600000000001</v>
      </c>
    </row>
    <row r="46" spans="1:5" x14ac:dyDescent="0.3">
      <c r="A46" s="5">
        <v>23</v>
      </c>
      <c r="B46" s="5">
        <v>1</v>
      </c>
      <c r="C46" s="5" t="s">
        <v>6</v>
      </c>
      <c r="D46" s="1">
        <v>8.1289999999999996</v>
      </c>
      <c r="E46" s="1">
        <v>354.613</v>
      </c>
    </row>
    <row r="47" spans="1:5" x14ac:dyDescent="0.3">
      <c r="A47" s="5">
        <v>24</v>
      </c>
      <c r="B47" s="5">
        <v>1</v>
      </c>
      <c r="C47" s="5" t="s">
        <v>6</v>
      </c>
      <c r="D47" s="1">
        <v>5.6459999999999999</v>
      </c>
      <c r="E47" s="1">
        <v>218.15100000000001</v>
      </c>
    </row>
    <row r="48" spans="1:5" x14ac:dyDescent="0.3">
      <c r="A48" s="5">
        <v>25</v>
      </c>
      <c r="B48" s="5">
        <v>1</v>
      </c>
      <c r="C48" s="5" t="s">
        <v>6</v>
      </c>
      <c r="D48" s="1">
        <v>7.6349999999999998</v>
      </c>
      <c r="E48" s="1">
        <v>134.73500000000001</v>
      </c>
    </row>
    <row r="49" spans="1:5" x14ac:dyDescent="0.3">
      <c r="A49" s="5">
        <v>26</v>
      </c>
      <c r="B49" s="5">
        <v>1</v>
      </c>
      <c r="C49" s="5" t="s">
        <v>6</v>
      </c>
      <c r="D49" s="1">
        <v>7.0709999999999997</v>
      </c>
      <c r="E49" s="1">
        <v>89.356999999999999</v>
      </c>
    </row>
    <row r="50" spans="1:5" x14ac:dyDescent="0.3">
      <c r="A50" s="5">
        <v>27</v>
      </c>
      <c r="B50" s="5">
        <v>1</v>
      </c>
      <c r="C50" s="5" t="s">
        <v>6</v>
      </c>
      <c r="D50" s="1">
        <v>8.6170000000000009</v>
      </c>
      <c r="E50" s="1">
        <v>126.045</v>
      </c>
    </row>
    <row r="51" spans="1:5" x14ac:dyDescent="0.3">
      <c r="A51" s="5">
        <v>28</v>
      </c>
      <c r="B51" s="5">
        <v>1</v>
      </c>
      <c r="C51" s="5" t="s">
        <v>6</v>
      </c>
      <c r="D51" s="1">
        <v>8.27</v>
      </c>
      <c r="E51" s="1">
        <v>81.037000000000006</v>
      </c>
    </row>
    <row r="52" spans="1:5" x14ac:dyDescent="0.3">
      <c r="A52" s="5">
        <v>29</v>
      </c>
      <c r="B52" s="5">
        <v>1</v>
      </c>
      <c r="C52" s="5" t="s">
        <v>6</v>
      </c>
      <c r="D52" s="1">
        <v>2.8359999999999999</v>
      </c>
      <c r="E52" s="1">
        <v>111.80500000000001</v>
      </c>
    </row>
    <row r="53" spans="1:5" x14ac:dyDescent="0.3">
      <c r="A53" s="5">
        <v>30</v>
      </c>
      <c r="B53" s="5">
        <v>1</v>
      </c>
      <c r="C53" s="5" t="s">
        <v>6</v>
      </c>
      <c r="D53" s="1">
        <v>10.616</v>
      </c>
      <c r="E53" s="1">
        <v>253.851</v>
      </c>
    </row>
    <row r="54" spans="1:5" x14ac:dyDescent="0.3">
      <c r="A54" s="5">
        <v>31</v>
      </c>
      <c r="B54" s="5">
        <v>1</v>
      </c>
      <c r="C54" s="5" t="s">
        <v>6</v>
      </c>
      <c r="D54" s="1">
        <v>13.069000000000001</v>
      </c>
      <c r="E54" s="1">
        <v>192.72200000000001</v>
      </c>
    </row>
    <row r="55" spans="1:5" x14ac:dyDescent="0.3">
      <c r="A55" s="5">
        <v>32</v>
      </c>
      <c r="B55" s="5">
        <v>1</v>
      </c>
      <c r="C55" s="5" t="s">
        <v>6</v>
      </c>
      <c r="D55" s="1">
        <v>7.2469999999999999</v>
      </c>
      <c r="E55" s="1">
        <v>169.036</v>
      </c>
    </row>
    <row r="56" spans="1:5" x14ac:dyDescent="0.3">
      <c r="A56" s="5">
        <v>33</v>
      </c>
      <c r="B56" s="5">
        <v>1</v>
      </c>
      <c r="C56" s="5" t="s">
        <v>6</v>
      </c>
      <c r="D56" s="1">
        <v>7.5640000000000001</v>
      </c>
      <c r="E56" s="1">
        <v>223.11500000000001</v>
      </c>
    </row>
    <row r="57" spans="1:5" x14ac:dyDescent="0.3">
      <c r="A57" s="5">
        <v>34</v>
      </c>
      <c r="B57" s="5">
        <v>1</v>
      </c>
      <c r="C57" s="5" t="s">
        <v>6</v>
      </c>
      <c r="D57" s="1">
        <v>8.44</v>
      </c>
      <c r="E57" s="1">
        <v>123.429</v>
      </c>
    </row>
    <row r="58" spans="1:5" x14ac:dyDescent="0.3">
      <c r="A58" s="5">
        <v>35</v>
      </c>
      <c r="B58" s="5">
        <v>1</v>
      </c>
      <c r="C58" s="5" t="s">
        <v>6</v>
      </c>
      <c r="D58" s="1">
        <v>7.91</v>
      </c>
      <c r="E58" s="1">
        <v>112.48</v>
      </c>
    </row>
    <row r="59" spans="1:5" x14ac:dyDescent="0.3">
      <c r="A59" s="5">
        <v>36</v>
      </c>
      <c r="B59" s="5">
        <v>1</v>
      </c>
      <c r="C59" s="5" t="s">
        <v>6</v>
      </c>
      <c r="D59" s="1">
        <v>9.8140000000000001</v>
      </c>
      <c r="E59" s="1">
        <v>249.87</v>
      </c>
    </row>
    <row r="60" spans="1:5" x14ac:dyDescent="0.3">
      <c r="A60" s="5">
        <v>37</v>
      </c>
      <c r="B60" s="5">
        <v>1</v>
      </c>
      <c r="C60" s="5" t="s">
        <v>6</v>
      </c>
      <c r="D60" s="1">
        <v>7.9960000000000004</v>
      </c>
      <c r="E60" s="1">
        <v>181.012</v>
      </c>
    </row>
    <row r="61" spans="1:5" x14ac:dyDescent="0.3">
      <c r="A61" s="5">
        <v>38</v>
      </c>
      <c r="B61" s="5">
        <v>1</v>
      </c>
      <c r="C61" s="5" t="s">
        <v>6</v>
      </c>
      <c r="D61" s="1">
        <v>9.5760000000000005</v>
      </c>
      <c r="E61" s="1">
        <v>98.936000000000007</v>
      </c>
    </row>
    <row r="62" spans="1:5" x14ac:dyDescent="0.3">
      <c r="A62" s="5">
        <v>39</v>
      </c>
      <c r="B62" s="5">
        <v>1</v>
      </c>
      <c r="C62" s="5" t="s">
        <v>6</v>
      </c>
      <c r="D62" s="1">
        <v>11.763</v>
      </c>
      <c r="E62" s="1">
        <v>72.566999999999993</v>
      </c>
    </row>
    <row r="63" spans="1:5" x14ac:dyDescent="0.3">
      <c r="A63" s="5">
        <v>40</v>
      </c>
      <c r="B63" s="5">
        <v>1</v>
      </c>
      <c r="C63" s="5" t="s">
        <v>6</v>
      </c>
      <c r="D63" s="1">
        <v>12.284000000000001</v>
      </c>
      <c r="E63" s="1">
        <v>164.946</v>
      </c>
    </row>
    <row r="64" spans="1:5" x14ac:dyDescent="0.3">
      <c r="A64" s="5">
        <v>41</v>
      </c>
      <c r="B64" s="5">
        <v>1</v>
      </c>
      <c r="C64" s="5" t="s">
        <v>6</v>
      </c>
      <c r="D64" s="1">
        <v>19.135000000000002</v>
      </c>
      <c r="E64" s="1">
        <v>232.84299999999999</v>
      </c>
    </row>
    <row r="65" spans="1:5" x14ac:dyDescent="0.3">
      <c r="A65" s="5">
        <v>42</v>
      </c>
      <c r="B65" s="5">
        <v>1</v>
      </c>
      <c r="C65" s="5" t="s">
        <v>6</v>
      </c>
      <c r="D65" s="1">
        <v>12.993</v>
      </c>
      <c r="E65" s="1">
        <v>153.678</v>
      </c>
    </row>
    <row r="66" spans="1:5" x14ac:dyDescent="0.3">
      <c r="A66" s="5">
        <v>43</v>
      </c>
      <c r="B66" s="5">
        <v>1</v>
      </c>
      <c r="C66" s="5" t="s">
        <v>6</v>
      </c>
      <c r="D66" s="1">
        <v>9.7539999999999996</v>
      </c>
      <c r="E66" s="1">
        <v>131.858</v>
      </c>
    </row>
    <row r="67" spans="1:5" x14ac:dyDescent="0.3">
      <c r="A67" s="5">
        <v>44</v>
      </c>
      <c r="B67" s="5">
        <v>1</v>
      </c>
      <c r="C67" s="5" t="s">
        <v>6</v>
      </c>
      <c r="D67" s="1">
        <v>8.6259999999999994</v>
      </c>
      <c r="E67" s="1">
        <v>235.37899999999999</v>
      </c>
    </row>
    <row r="68" spans="1:5" x14ac:dyDescent="0.3">
      <c r="A68" s="5">
        <v>45</v>
      </c>
      <c r="B68" s="5">
        <v>1</v>
      </c>
      <c r="C68" s="5" t="s">
        <v>6</v>
      </c>
      <c r="D68" s="1">
        <v>9.1660000000000004</v>
      </c>
      <c r="E68" s="1">
        <v>150.489</v>
      </c>
    </row>
    <row r="69" spans="1:5" x14ac:dyDescent="0.3">
      <c r="A69" s="5">
        <v>46</v>
      </c>
      <c r="B69" s="5">
        <v>1</v>
      </c>
      <c r="C69" s="5" t="s">
        <v>6</v>
      </c>
      <c r="D69" s="1">
        <v>14.766999999999999</v>
      </c>
      <c r="E69" s="1">
        <v>292.65800000000002</v>
      </c>
    </row>
    <row r="70" spans="1:5" x14ac:dyDescent="0.3">
      <c r="A70" s="5">
        <v>47</v>
      </c>
      <c r="B70" s="5">
        <v>1</v>
      </c>
      <c r="C70" s="5" t="s">
        <v>6</v>
      </c>
      <c r="D70" s="1">
        <v>23.318999999999999</v>
      </c>
      <c r="E70" s="1">
        <v>168.89</v>
      </c>
    </row>
    <row r="71" spans="1:5" x14ac:dyDescent="0.3">
      <c r="A71" s="5">
        <v>48</v>
      </c>
      <c r="B71" s="5">
        <v>2</v>
      </c>
      <c r="C71" s="5" t="s">
        <v>6</v>
      </c>
      <c r="D71" s="1">
        <v>0</v>
      </c>
      <c r="E71" s="1">
        <v>218.726</v>
      </c>
    </row>
    <row r="72" spans="1:5" x14ac:dyDescent="0.3">
      <c r="A72" s="5">
        <v>1</v>
      </c>
      <c r="B72" s="5">
        <v>1</v>
      </c>
      <c r="C72" s="5" t="s">
        <v>7</v>
      </c>
      <c r="D72" s="1">
        <v>8.0030000000000001</v>
      </c>
      <c r="E72" s="1">
        <v>9.2439999999999998</v>
      </c>
    </row>
    <row r="73" spans="1:5" x14ac:dyDescent="0.3">
      <c r="A73" s="5">
        <v>2</v>
      </c>
      <c r="B73" s="5">
        <v>1</v>
      </c>
      <c r="C73" s="5" t="s">
        <v>7</v>
      </c>
      <c r="D73" s="1">
        <v>8.85</v>
      </c>
      <c r="E73" s="1">
        <v>8.9689999999999994</v>
      </c>
    </row>
    <row r="74" spans="1:5" x14ac:dyDescent="0.3">
      <c r="A74" s="5">
        <v>3</v>
      </c>
      <c r="B74" s="5">
        <v>1</v>
      </c>
      <c r="C74" s="5" t="s">
        <v>7</v>
      </c>
      <c r="D74" s="1">
        <v>8.0470000000000006</v>
      </c>
      <c r="E74" s="1">
        <v>14.153</v>
      </c>
    </row>
    <row r="75" spans="1:5" x14ac:dyDescent="0.3">
      <c r="A75" s="5">
        <v>4</v>
      </c>
      <c r="B75" s="5">
        <v>1</v>
      </c>
      <c r="C75" s="5" t="s">
        <v>7</v>
      </c>
      <c r="D75" s="1">
        <v>9.4260000000000002</v>
      </c>
      <c r="E75" s="1">
        <v>16.206</v>
      </c>
    </row>
    <row r="76" spans="1:5" x14ac:dyDescent="0.3">
      <c r="A76" s="5">
        <v>5</v>
      </c>
      <c r="B76" s="5">
        <v>1</v>
      </c>
      <c r="C76" s="5" t="s">
        <v>7</v>
      </c>
      <c r="D76" s="1">
        <v>8.0559999999999992</v>
      </c>
      <c r="E76" s="1">
        <v>18.763999999999999</v>
      </c>
    </row>
    <row r="77" spans="1:5" x14ac:dyDescent="0.3">
      <c r="A77" s="5">
        <v>6</v>
      </c>
      <c r="B77" s="5">
        <v>1</v>
      </c>
      <c r="C77" s="5" t="s">
        <v>7</v>
      </c>
      <c r="D77" s="1">
        <v>10.69</v>
      </c>
      <c r="E77" s="1">
        <v>14.678000000000001</v>
      </c>
    </row>
    <row r="78" spans="1:5" x14ac:dyDescent="0.3">
      <c r="A78" s="5">
        <v>7</v>
      </c>
      <c r="B78" s="5">
        <v>1</v>
      </c>
      <c r="C78" s="5" t="s">
        <v>7</v>
      </c>
      <c r="D78" s="1">
        <v>7.5579999999999998</v>
      </c>
      <c r="E78" s="1">
        <v>9.7810000000000006</v>
      </c>
    </row>
    <row r="79" spans="1:5" x14ac:dyDescent="0.3">
      <c r="A79" s="5">
        <v>8</v>
      </c>
      <c r="B79" s="5">
        <v>1</v>
      </c>
      <c r="C79" s="5" t="s">
        <v>7</v>
      </c>
      <c r="D79" s="1">
        <v>4.7380000000000004</v>
      </c>
      <c r="E79" s="1">
        <v>10.182</v>
      </c>
    </row>
    <row r="80" spans="1:5" x14ac:dyDescent="0.3">
      <c r="A80" s="5">
        <v>9</v>
      </c>
      <c r="B80" s="5">
        <v>1</v>
      </c>
      <c r="C80" s="5" t="s">
        <v>7</v>
      </c>
      <c r="D80" s="1">
        <v>5.4569999999999999</v>
      </c>
      <c r="E80" s="1">
        <v>14.691000000000001</v>
      </c>
    </row>
    <row r="81" spans="1:5" x14ac:dyDescent="0.3">
      <c r="A81" s="5">
        <v>10</v>
      </c>
      <c r="B81" s="5">
        <v>1</v>
      </c>
      <c r="C81" s="5" t="s">
        <v>7</v>
      </c>
      <c r="D81" s="1">
        <v>7.1619999999999999</v>
      </c>
      <c r="E81" s="1">
        <v>20.177</v>
      </c>
    </row>
    <row r="82" spans="1:5" x14ac:dyDescent="0.3">
      <c r="A82" s="5">
        <v>11</v>
      </c>
      <c r="B82" s="5">
        <v>1</v>
      </c>
      <c r="C82" s="5" t="s">
        <v>7</v>
      </c>
      <c r="D82" s="1">
        <v>6.3419999999999996</v>
      </c>
      <c r="E82" s="1">
        <v>14.529</v>
      </c>
    </row>
    <row r="83" spans="1:5" x14ac:dyDescent="0.3">
      <c r="A83" s="5">
        <v>12</v>
      </c>
      <c r="B83" s="5">
        <v>1</v>
      </c>
      <c r="C83" s="5" t="s">
        <v>7</v>
      </c>
      <c r="D83" s="1">
        <v>6.4340000000000002</v>
      </c>
      <c r="E83" s="1">
        <v>8.4879999999999995</v>
      </c>
    </row>
    <row r="84" spans="1:5" x14ac:dyDescent="0.3">
      <c r="A84" s="5">
        <v>13</v>
      </c>
      <c r="B84" s="5">
        <v>1</v>
      </c>
      <c r="C84" s="5" t="s">
        <v>7</v>
      </c>
      <c r="D84" s="1">
        <v>6.1459999999999999</v>
      </c>
      <c r="E84" s="1">
        <v>9.8930000000000007</v>
      </c>
    </row>
    <row r="85" spans="1:5" x14ac:dyDescent="0.3">
      <c r="A85" s="5">
        <v>14</v>
      </c>
      <c r="B85" s="5">
        <v>1</v>
      </c>
      <c r="C85" s="5" t="s">
        <v>7</v>
      </c>
      <c r="D85" s="1">
        <v>6.1459999999999999</v>
      </c>
      <c r="E85" s="1">
        <v>7.2750000000000004</v>
      </c>
    </row>
    <row r="86" spans="1:5" x14ac:dyDescent="0.3">
      <c r="A86" s="5">
        <v>15</v>
      </c>
      <c r="B86" s="5">
        <v>1</v>
      </c>
      <c r="C86" s="5" t="s">
        <v>7</v>
      </c>
      <c r="D86" s="1">
        <v>7.234</v>
      </c>
      <c r="E86" s="1">
        <v>8.1080000000000005</v>
      </c>
    </row>
    <row r="87" spans="1:5" x14ac:dyDescent="0.3">
      <c r="A87" s="5">
        <v>16</v>
      </c>
      <c r="B87" s="5">
        <v>1</v>
      </c>
      <c r="C87" s="5" t="s">
        <v>7</v>
      </c>
      <c r="D87" s="1">
        <v>6.4930000000000003</v>
      </c>
      <c r="E87" s="1">
        <v>19.95</v>
      </c>
    </row>
    <row r="88" spans="1:5" x14ac:dyDescent="0.3">
      <c r="A88" s="5">
        <v>17</v>
      </c>
      <c r="B88" s="5">
        <v>1</v>
      </c>
      <c r="C88" s="5" t="s">
        <v>7</v>
      </c>
      <c r="D88" s="1">
        <v>7.8070000000000004</v>
      </c>
      <c r="E88" s="1">
        <v>18.268999999999998</v>
      </c>
    </row>
    <row r="89" spans="1:5" x14ac:dyDescent="0.3">
      <c r="A89" s="5">
        <v>18</v>
      </c>
      <c r="B89" s="5">
        <v>1</v>
      </c>
      <c r="C89" s="5" t="s">
        <v>7</v>
      </c>
      <c r="D89" s="1">
        <v>7.8070000000000004</v>
      </c>
      <c r="E89" s="1">
        <v>11.086</v>
      </c>
    </row>
    <row r="90" spans="1:5" x14ac:dyDescent="0.3">
      <c r="A90" s="5">
        <v>19</v>
      </c>
      <c r="B90" s="5">
        <v>1</v>
      </c>
      <c r="C90" s="5" t="s">
        <v>7</v>
      </c>
      <c r="D90" s="1">
        <v>6.1059999999999999</v>
      </c>
      <c r="E90" s="1">
        <v>10.879</v>
      </c>
    </row>
    <row r="91" spans="1:5" x14ac:dyDescent="0.3">
      <c r="A91" s="5">
        <v>20</v>
      </c>
      <c r="B91" s="5">
        <v>1</v>
      </c>
      <c r="C91" s="5" t="s">
        <v>7</v>
      </c>
      <c r="D91" s="1">
        <v>9.7240000000000002</v>
      </c>
      <c r="E91" s="1">
        <v>8.02</v>
      </c>
    </row>
    <row r="92" spans="1:5" x14ac:dyDescent="0.3">
      <c r="A92" s="5">
        <v>21</v>
      </c>
      <c r="B92" s="5">
        <v>1</v>
      </c>
      <c r="C92" s="5" t="s">
        <v>7</v>
      </c>
      <c r="D92" s="1">
        <v>7.8</v>
      </c>
      <c r="E92" s="1">
        <v>6.0190000000000001</v>
      </c>
    </row>
    <row r="93" spans="1:5" x14ac:dyDescent="0.3">
      <c r="A93" s="5">
        <v>22</v>
      </c>
      <c r="B93" s="5">
        <v>1</v>
      </c>
      <c r="C93" s="5" t="s">
        <v>7</v>
      </c>
      <c r="D93" s="1">
        <v>8.0839999999999996</v>
      </c>
      <c r="E93" s="1">
        <v>5.9269999999999996</v>
      </c>
    </row>
    <row r="94" spans="1:5" x14ac:dyDescent="0.3">
      <c r="A94" s="5">
        <v>23</v>
      </c>
      <c r="B94" s="5">
        <v>1</v>
      </c>
      <c r="C94" s="5" t="s">
        <v>7</v>
      </c>
      <c r="D94" s="1">
        <v>8.0839999999999996</v>
      </c>
      <c r="E94" s="1">
        <v>5.617</v>
      </c>
    </row>
    <row r="95" spans="1:5" x14ac:dyDescent="0.3">
      <c r="A95" s="5">
        <v>24</v>
      </c>
      <c r="B95" s="5">
        <v>1</v>
      </c>
      <c r="C95" s="5" t="s">
        <v>7</v>
      </c>
      <c r="D95" s="1">
        <v>5.5010000000000003</v>
      </c>
      <c r="E95" s="1">
        <v>4.6710000000000003</v>
      </c>
    </row>
    <row r="96" spans="1:5" x14ac:dyDescent="0.3">
      <c r="A96" s="5">
        <v>25</v>
      </c>
      <c r="B96" s="5">
        <v>1</v>
      </c>
      <c r="C96" s="5" t="s">
        <v>7</v>
      </c>
      <c r="D96" s="1">
        <v>4.7699999999999996</v>
      </c>
      <c r="E96" s="1">
        <v>2.4910000000000001</v>
      </c>
    </row>
    <row r="97" spans="1:5" x14ac:dyDescent="0.3">
      <c r="A97" s="5">
        <v>26</v>
      </c>
      <c r="B97" s="5">
        <v>1</v>
      </c>
      <c r="C97" s="5" t="s">
        <v>7</v>
      </c>
      <c r="D97" s="1">
        <v>6.3280000000000003</v>
      </c>
      <c r="E97" s="1">
        <v>5.617</v>
      </c>
    </row>
    <row r="98" spans="1:5" x14ac:dyDescent="0.3">
      <c r="A98" s="5">
        <v>27</v>
      </c>
      <c r="B98" s="5">
        <v>1</v>
      </c>
      <c r="C98" s="5" t="s">
        <v>7</v>
      </c>
      <c r="D98" s="1">
        <v>8.3529999999999998</v>
      </c>
      <c r="E98" s="1">
        <v>8.3919999999999995</v>
      </c>
    </row>
    <row r="99" spans="1:5" x14ac:dyDescent="0.3">
      <c r="A99" s="5">
        <v>28</v>
      </c>
      <c r="B99" s="5">
        <v>1</v>
      </c>
      <c r="C99" s="5" t="s">
        <v>7</v>
      </c>
      <c r="D99" s="1">
        <v>6.9880000000000004</v>
      </c>
      <c r="E99" s="1">
        <v>7.0789999999999997</v>
      </c>
    </row>
    <row r="100" spans="1:5" x14ac:dyDescent="0.3">
      <c r="A100" s="5">
        <v>29</v>
      </c>
      <c r="B100" s="5">
        <v>1</v>
      </c>
      <c r="C100" s="5" t="s">
        <v>7</v>
      </c>
      <c r="D100" s="1">
        <v>6.8019999999999996</v>
      </c>
      <c r="E100" s="1">
        <v>5.6509999999999998</v>
      </c>
    </row>
    <row r="101" spans="1:5" x14ac:dyDescent="0.3">
      <c r="A101" s="5">
        <v>30</v>
      </c>
      <c r="B101" s="5">
        <v>1</v>
      </c>
      <c r="C101" s="5" t="s">
        <v>7</v>
      </c>
      <c r="D101" s="1">
        <v>5.4109999999999996</v>
      </c>
      <c r="E101" s="1">
        <v>10.414999999999999</v>
      </c>
    </row>
    <row r="102" spans="1:5" x14ac:dyDescent="0.3">
      <c r="A102" s="5">
        <v>31</v>
      </c>
      <c r="B102" s="5">
        <v>1</v>
      </c>
      <c r="C102" s="5" t="s">
        <v>7</v>
      </c>
      <c r="D102" s="1">
        <v>4.0620000000000003</v>
      </c>
      <c r="E102" s="1">
        <v>6.3250000000000002</v>
      </c>
    </row>
    <row r="103" spans="1:5" x14ac:dyDescent="0.3">
      <c r="A103" s="5">
        <v>32</v>
      </c>
      <c r="B103" s="5">
        <v>1</v>
      </c>
      <c r="C103" s="5" t="s">
        <v>7</v>
      </c>
      <c r="D103" s="1">
        <v>2.9409999999999998</v>
      </c>
      <c r="E103" s="1">
        <v>10.276999999999999</v>
      </c>
    </row>
    <row r="104" spans="1:5" x14ac:dyDescent="0.3">
      <c r="A104" s="5">
        <v>33</v>
      </c>
      <c r="B104" s="5">
        <v>1</v>
      </c>
      <c r="C104" s="5" t="s">
        <v>7</v>
      </c>
      <c r="D104" s="1">
        <v>0</v>
      </c>
      <c r="E104" s="1">
        <v>7.1980000000000004</v>
      </c>
    </row>
    <row r="105" spans="1:5" x14ac:dyDescent="0.3">
      <c r="A105" s="5">
        <v>1</v>
      </c>
      <c r="B105" s="5">
        <v>2</v>
      </c>
      <c r="C105" s="5" t="s">
        <v>5</v>
      </c>
      <c r="D105" s="1">
        <v>10.210000000000001</v>
      </c>
    </row>
    <row r="106" spans="1:5" x14ac:dyDescent="0.3">
      <c r="A106" s="5">
        <v>2</v>
      </c>
      <c r="B106" s="5">
        <v>2</v>
      </c>
      <c r="C106" s="5" t="s">
        <v>5</v>
      </c>
      <c r="D106" s="1">
        <v>6.3280000000000003</v>
      </c>
    </row>
    <row r="107" spans="1:5" x14ac:dyDescent="0.3">
      <c r="A107" s="5">
        <v>3</v>
      </c>
      <c r="B107" s="5">
        <v>2</v>
      </c>
      <c r="C107" s="5" t="s">
        <v>5</v>
      </c>
      <c r="D107" s="1">
        <v>4.9610000000000003</v>
      </c>
    </row>
    <row r="108" spans="1:5" x14ac:dyDescent="0.3">
      <c r="A108" s="5">
        <v>4</v>
      </c>
      <c r="B108" s="5">
        <v>2</v>
      </c>
      <c r="C108" s="5" t="s">
        <v>5</v>
      </c>
      <c r="D108" s="1">
        <v>8.0860000000000003</v>
      </c>
    </row>
    <row r="109" spans="1:5" x14ac:dyDescent="0.3">
      <c r="A109" s="5">
        <v>5</v>
      </c>
      <c r="B109" s="5">
        <v>2</v>
      </c>
      <c r="C109" s="5" t="s">
        <v>5</v>
      </c>
      <c r="D109" s="1">
        <v>7.0430000000000001</v>
      </c>
    </row>
    <row r="110" spans="1:5" x14ac:dyDescent="0.3">
      <c r="A110" s="5">
        <v>6</v>
      </c>
      <c r="B110" s="5">
        <v>2</v>
      </c>
      <c r="C110" s="5" t="s">
        <v>5</v>
      </c>
      <c r="D110" s="1">
        <v>5.6070000000000002</v>
      </c>
    </row>
    <row r="111" spans="1:5" x14ac:dyDescent="0.3">
      <c r="A111" s="5">
        <v>7</v>
      </c>
      <c r="B111" s="5">
        <v>2</v>
      </c>
      <c r="C111" s="5" t="s">
        <v>5</v>
      </c>
      <c r="D111" s="1">
        <v>9.0839999999999996</v>
      </c>
    </row>
    <row r="112" spans="1:5" x14ac:dyDescent="0.3">
      <c r="A112" s="5">
        <v>8</v>
      </c>
      <c r="B112" s="5">
        <v>2</v>
      </c>
      <c r="C112" s="5" t="s">
        <v>5</v>
      </c>
      <c r="D112" s="1">
        <v>7.8179999999999996</v>
      </c>
    </row>
    <row r="113" spans="1:4" x14ac:dyDescent="0.3">
      <c r="A113" s="5">
        <v>1</v>
      </c>
      <c r="B113" s="5">
        <v>2</v>
      </c>
      <c r="C113" s="5" t="s">
        <v>6</v>
      </c>
      <c r="D113" s="1">
        <v>6.649</v>
      </c>
    </row>
    <row r="114" spans="1:4" x14ac:dyDescent="0.3">
      <c r="A114" s="5">
        <v>2</v>
      </c>
      <c r="B114" s="5">
        <v>2</v>
      </c>
      <c r="C114" s="5" t="s">
        <v>6</v>
      </c>
      <c r="D114" s="1">
        <v>3.5059999999999998</v>
      </c>
    </row>
    <row r="115" spans="1:4" x14ac:dyDescent="0.3">
      <c r="A115" s="5">
        <v>3</v>
      </c>
      <c r="B115" s="5">
        <v>2</v>
      </c>
      <c r="C115" s="5" t="s">
        <v>6</v>
      </c>
      <c r="D115" s="1">
        <v>1.9870000000000001</v>
      </c>
    </row>
    <row r="116" spans="1:4" x14ac:dyDescent="0.3">
      <c r="A116" s="5">
        <v>4</v>
      </c>
      <c r="B116" s="5">
        <v>2</v>
      </c>
      <c r="C116" s="5" t="s">
        <v>6</v>
      </c>
      <c r="D116" s="1">
        <v>5.8940000000000001</v>
      </c>
    </row>
    <row r="117" spans="1:4" x14ac:dyDescent="0.3">
      <c r="A117" s="5">
        <v>5</v>
      </c>
      <c r="B117" s="5">
        <v>2</v>
      </c>
      <c r="C117" s="5" t="s">
        <v>6</v>
      </c>
      <c r="D117" s="1">
        <v>2.7690000000000001</v>
      </c>
    </row>
    <row r="118" spans="1:4" x14ac:dyDescent="0.3">
      <c r="A118" s="5">
        <v>6</v>
      </c>
      <c r="B118" s="5">
        <v>2</v>
      </c>
      <c r="C118" s="5" t="s">
        <v>6</v>
      </c>
      <c r="D118" s="1">
        <v>9.39</v>
      </c>
    </row>
    <row r="119" spans="1:4" x14ac:dyDescent="0.3">
      <c r="A119" s="5">
        <v>7</v>
      </c>
      <c r="B119" s="5">
        <v>2</v>
      </c>
      <c r="C119" s="5" t="s">
        <v>6</v>
      </c>
      <c r="D119" s="1">
        <v>7.9189999999999996</v>
      </c>
    </row>
    <row r="120" spans="1:4" x14ac:dyDescent="0.3">
      <c r="A120" s="5">
        <v>8</v>
      </c>
      <c r="B120" s="5">
        <v>2</v>
      </c>
      <c r="C120" s="5" t="s">
        <v>6</v>
      </c>
      <c r="D120" s="1">
        <v>8.3010000000000002</v>
      </c>
    </row>
    <row r="121" spans="1:4" x14ac:dyDescent="0.3">
      <c r="A121" s="5">
        <v>9</v>
      </c>
      <c r="B121" s="5">
        <v>2</v>
      </c>
      <c r="C121" s="5" t="s">
        <v>6</v>
      </c>
      <c r="D121" s="1">
        <v>7.3049999999999997</v>
      </c>
    </row>
    <row r="122" spans="1:4" x14ac:dyDescent="0.3">
      <c r="A122" s="5">
        <v>10</v>
      </c>
      <c r="B122" s="5">
        <v>2</v>
      </c>
      <c r="C122" s="5" t="s">
        <v>6</v>
      </c>
      <c r="D122" s="1">
        <v>3.742</v>
      </c>
    </row>
    <row r="123" spans="1:4" x14ac:dyDescent="0.3">
      <c r="A123" s="5">
        <v>11</v>
      </c>
      <c r="B123" s="5">
        <v>2</v>
      </c>
      <c r="C123" s="5" t="s">
        <v>6</v>
      </c>
      <c r="D123" s="1">
        <v>7.9459999999999997</v>
      </c>
    </row>
    <row r="124" spans="1:4" x14ac:dyDescent="0.3">
      <c r="A124" s="5">
        <v>12</v>
      </c>
      <c r="B124" s="5">
        <v>2</v>
      </c>
      <c r="C124" s="5" t="s">
        <v>6</v>
      </c>
      <c r="D124" s="1">
        <v>6.4820000000000002</v>
      </c>
    </row>
    <row r="125" spans="1:4" x14ac:dyDescent="0.3">
      <c r="A125" s="5">
        <v>13</v>
      </c>
      <c r="B125" s="5">
        <v>2</v>
      </c>
      <c r="C125" s="5" t="s">
        <v>6</v>
      </c>
      <c r="D125" s="1">
        <v>5.7370000000000001</v>
      </c>
    </row>
    <row r="126" spans="1:4" x14ac:dyDescent="0.3">
      <c r="A126" s="5">
        <v>1</v>
      </c>
      <c r="B126" s="5">
        <v>2</v>
      </c>
      <c r="C126" s="5" t="s">
        <v>8</v>
      </c>
      <c r="D126" s="2">
        <v>6.6059999999999999</v>
      </c>
    </row>
    <row r="127" spans="1:4" x14ac:dyDescent="0.3">
      <c r="A127" s="5">
        <v>2</v>
      </c>
      <c r="B127" s="5">
        <v>2</v>
      </c>
      <c r="C127" s="5" t="s">
        <v>8</v>
      </c>
      <c r="D127" s="2">
        <v>4.2270000000000003</v>
      </c>
    </row>
    <row r="128" spans="1:4" x14ac:dyDescent="0.3">
      <c r="A128" s="5">
        <v>3</v>
      </c>
      <c r="B128" s="5">
        <v>2</v>
      </c>
      <c r="C128" s="5" t="s">
        <v>8</v>
      </c>
      <c r="D128" s="2">
        <v>3.0840000000000001</v>
      </c>
    </row>
    <row r="129" spans="1:4" x14ac:dyDescent="0.3">
      <c r="A129" s="5">
        <v>4</v>
      </c>
      <c r="B129" s="5">
        <v>2</v>
      </c>
      <c r="C129" s="5" t="s">
        <v>8</v>
      </c>
      <c r="D129" s="2">
        <v>6.7610000000000001</v>
      </c>
    </row>
    <row r="130" spans="1:4" x14ac:dyDescent="0.3">
      <c r="A130" s="5">
        <v>5</v>
      </c>
      <c r="B130" s="5">
        <v>2</v>
      </c>
      <c r="C130" s="5" t="s">
        <v>8</v>
      </c>
      <c r="D130" s="2">
        <v>4.6740000000000004</v>
      </c>
    </row>
    <row r="131" spans="1:4" x14ac:dyDescent="0.3">
      <c r="A131" s="5">
        <v>6</v>
      </c>
      <c r="B131" s="5">
        <v>2</v>
      </c>
      <c r="C131" s="5" t="s">
        <v>8</v>
      </c>
      <c r="D131" s="2">
        <v>4.149</v>
      </c>
    </row>
    <row r="132" spans="1:4" x14ac:dyDescent="0.3">
      <c r="A132" s="5">
        <v>7</v>
      </c>
      <c r="B132" s="5">
        <v>2</v>
      </c>
      <c r="C132" s="5" t="s">
        <v>8</v>
      </c>
      <c r="D132" s="2">
        <v>5.2530000000000001</v>
      </c>
    </row>
    <row r="133" spans="1:4" x14ac:dyDescent="0.3">
      <c r="A133" s="5">
        <v>8</v>
      </c>
      <c r="B133" s="5">
        <v>2</v>
      </c>
      <c r="C133" s="5" t="s">
        <v>8</v>
      </c>
      <c r="D133" s="2">
        <v>3.907</v>
      </c>
    </row>
    <row r="134" spans="1:4" x14ac:dyDescent="0.3">
      <c r="A134" s="5">
        <v>9</v>
      </c>
      <c r="B134" s="5">
        <v>2</v>
      </c>
      <c r="C134" s="5" t="s">
        <v>8</v>
      </c>
      <c r="D134" s="2">
        <v>4.4240000000000004</v>
      </c>
    </row>
    <row r="135" spans="1:4" x14ac:dyDescent="0.3">
      <c r="A135" s="5">
        <v>10</v>
      </c>
      <c r="B135" s="5">
        <v>2</v>
      </c>
      <c r="C135" s="5" t="s">
        <v>8</v>
      </c>
      <c r="D135" s="2">
        <v>3.395</v>
      </c>
    </row>
    <row r="136" spans="1:4" x14ac:dyDescent="0.3">
      <c r="A136" s="5">
        <v>11</v>
      </c>
      <c r="B136" s="5">
        <v>2</v>
      </c>
      <c r="C136" s="5" t="s">
        <v>8</v>
      </c>
      <c r="D136" s="2">
        <v>3.351</v>
      </c>
    </row>
    <row r="137" spans="1:4" x14ac:dyDescent="0.3">
      <c r="A137" s="5">
        <v>12</v>
      </c>
      <c r="B137" s="5">
        <v>2</v>
      </c>
      <c r="C137" s="5" t="s">
        <v>8</v>
      </c>
      <c r="D137" s="2">
        <v>2.9430000000000001</v>
      </c>
    </row>
    <row r="138" spans="1:4" x14ac:dyDescent="0.3">
      <c r="A138" s="5">
        <v>13</v>
      </c>
      <c r="B138" s="5">
        <v>2</v>
      </c>
      <c r="C138" s="5" t="s">
        <v>8</v>
      </c>
      <c r="D138" s="2">
        <v>3.4609999999999999</v>
      </c>
    </row>
    <row r="139" spans="1:4" x14ac:dyDescent="0.3">
      <c r="A139" s="5">
        <v>14</v>
      </c>
      <c r="B139" s="5">
        <v>2</v>
      </c>
      <c r="C139" s="5" t="s">
        <v>8</v>
      </c>
      <c r="D139" s="2">
        <v>4.0999999999999996</v>
      </c>
    </row>
    <row r="140" spans="1:4" x14ac:dyDescent="0.3">
      <c r="A140" s="5">
        <v>15</v>
      </c>
      <c r="B140" s="5">
        <v>2</v>
      </c>
      <c r="C140" s="5" t="s">
        <v>8</v>
      </c>
      <c r="D140" s="2">
        <v>5.569</v>
      </c>
    </row>
    <row r="141" spans="1:4" x14ac:dyDescent="0.3">
      <c r="A141" s="5">
        <v>16</v>
      </c>
      <c r="B141" s="5">
        <v>2</v>
      </c>
      <c r="C141" s="5" t="s">
        <v>8</v>
      </c>
      <c r="D141" s="2">
        <v>3.9670000000000001</v>
      </c>
    </row>
    <row r="142" spans="1:4" x14ac:dyDescent="0.3">
      <c r="A142" s="5">
        <v>17</v>
      </c>
      <c r="B142" s="5">
        <v>2</v>
      </c>
      <c r="C142" s="5" t="s">
        <v>8</v>
      </c>
      <c r="D142" s="2">
        <v>4.5259999999999998</v>
      </c>
    </row>
    <row r="143" spans="1:4" x14ac:dyDescent="0.3">
      <c r="A143" s="5">
        <v>18</v>
      </c>
      <c r="B143" s="5">
        <v>2</v>
      </c>
      <c r="C143" s="5" t="s">
        <v>8</v>
      </c>
      <c r="D143" s="2">
        <v>8.2070000000000007</v>
      </c>
    </row>
    <row r="144" spans="1:4" x14ac:dyDescent="0.3">
      <c r="A144" s="5">
        <v>19</v>
      </c>
      <c r="B144" s="5">
        <v>2</v>
      </c>
      <c r="C144" s="5" t="s">
        <v>8</v>
      </c>
      <c r="D144" s="2">
        <v>5.76</v>
      </c>
    </row>
    <row r="145" spans="1:4" x14ac:dyDescent="0.3">
      <c r="A145" s="5">
        <v>20</v>
      </c>
      <c r="B145" s="5">
        <v>2</v>
      </c>
      <c r="C145" s="5" t="s">
        <v>8</v>
      </c>
      <c r="D145" s="2">
        <v>5.4930000000000003</v>
      </c>
    </row>
    <row r="146" spans="1:4" x14ac:dyDescent="0.3">
      <c r="A146" s="5">
        <v>21</v>
      </c>
      <c r="B146" s="5">
        <v>2</v>
      </c>
      <c r="C146" s="5" t="s">
        <v>8</v>
      </c>
      <c r="D146" s="2">
        <v>4.9610000000000003</v>
      </c>
    </row>
    <row r="147" spans="1:4" x14ac:dyDescent="0.3">
      <c r="A147" s="5">
        <v>22</v>
      </c>
      <c r="B147" s="5">
        <v>2</v>
      </c>
      <c r="C147" s="5" t="s">
        <v>8</v>
      </c>
      <c r="D147" s="2">
        <v>6.6020000000000003</v>
      </c>
    </row>
    <row r="148" spans="1:4" x14ac:dyDescent="0.3">
      <c r="A148" s="5">
        <v>23</v>
      </c>
      <c r="B148" s="5">
        <v>2</v>
      </c>
      <c r="C148" s="5" t="s">
        <v>8</v>
      </c>
      <c r="D148" s="2">
        <v>5.9</v>
      </c>
    </row>
    <row r="149" spans="1:4" x14ac:dyDescent="0.3">
      <c r="A149" s="5">
        <v>24</v>
      </c>
      <c r="B149" s="5">
        <v>2</v>
      </c>
      <c r="C149" s="5" t="s">
        <v>8</v>
      </c>
      <c r="D149" s="2">
        <v>5.8920000000000003</v>
      </c>
    </row>
    <row r="150" spans="1:4" x14ac:dyDescent="0.3">
      <c r="A150" s="5">
        <v>25</v>
      </c>
      <c r="B150" s="5">
        <v>2</v>
      </c>
      <c r="C150" s="5" t="s">
        <v>8</v>
      </c>
      <c r="D150" s="2">
        <v>4.4569999999999999</v>
      </c>
    </row>
    <row r="151" spans="1:4" x14ac:dyDescent="0.3">
      <c r="A151" s="5">
        <v>26</v>
      </c>
      <c r="B151" s="5">
        <v>2</v>
      </c>
      <c r="C151" s="5" t="s">
        <v>8</v>
      </c>
      <c r="D151" s="2">
        <v>7.59</v>
      </c>
    </row>
    <row r="152" spans="1:4" x14ac:dyDescent="0.3">
      <c r="A152" s="5">
        <v>27</v>
      </c>
      <c r="B152" s="5">
        <v>2</v>
      </c>
      <c r="C152" s="5" t="s">
        <v>8</v>
      </c>
      <c r="D152" s="2">
        <v>6.258</v>
      </c>
    </row>
    <row r="153" spans="1:4" x14ac:dyDescent="0.3">
      <c r="A153" s="5">
        <v>28</v>
      </c>
      <c r="B153" s="5">
        <v>2</v>
      </c>
      <c r="C153" s="5" t="s">
        <v>8</v>
      </c>
      <c r="D153" s="2">
        <v>7.2869999999999999</v>
      </c>
    </row>
    <row r="154" spans="1:4" x14ac:dyDescent="0.3">
      <c r="A154" s="5">
        <v>29</v>
      </c>
      <c r="B154" s="5">
        <v>2</v>
      </c>
      <c r="C154" s="5" t="s">
        <v>8</v>
      </c>
      <c r="D154" s="2">
        <v>6.72</v>
      </c>
    </row>
    <row r="155" spans="1:4" x14ac:dyDescent="0.3">
      <c r="A155" s="5">
        <v>30</v>
      </c>
      <c r="B155" s="5">
        <v>2</v>
      </c>
      <c r="C155" s="5" t="s">
        <v>8</v>
      </c>
      <c r="D155" s="2">
        <v>7.0940000000000003</v>
      </c>
    </row>
    <row r="156" spans="1:4" x14ac:dyDescent="0.3">
      <c r="A156" s="5">
        <v>31</v>
      </c>
      <c r="B156" s="5">
        <v>2</v>
      </c>
      <c r="C156" s="5" t="s">
        <v>8</v>
      </c>
      <c r="D156" s="2">
        <v>5.4189999999999996</v>
      </c>
    </row>
    <row r="157" spans="1:4" x14ac:dyDescent="0.3">
      <c r="A157" s="5">
        <v>32</v>
      </c>
      <c r="B157" s="5">
        <v>2</v>
      </c>
      <c r="C157" s="5" t="s">
        <v>8</v>
      </c>
      <c r="D157" s="2">
        <v>7.4249999999999998</v>
      </c>
    </row>
    <row r="158" spans="1:4" x14ac:dyDescent="0.3">
      <c r="A158" s="5">
        <v>33</v>
      </c>
      <c r="B158" s="5">
        <v>2</v>
      </c>
      <c r="C158" s="5" t="s">
        <v>8</v>
      </c>
      <c r="D158" s="2">
        <v>3.7749999999999999</v>
      </c>
    </row>
    <row r="159" spans="1:4" x14ac:dyDescent="0.3">
      <c r="A159" s="5">
        <v>34</v>
      </c>
      <c r="B159" s="5">
        <v>2</v>
      </c>
      <c r="C159" s="5" t="s">
        <v>8</v>
      </c>
      <c r="D159" s="2">
        <v>6.4189999999999996</v>
      </c>
    </row>
    <row r="160" spans="1:4" x14ac:dyDescent="0.3">
      <c r="A160" s="5">
        <v>35</v>
      </c>
      <c r="B160" s="5">
        <v>2</v>
      </c>
      <c r="C160" s="5" t="s">
        <v>8</v>
      </c>
      <c r="D160" s="3">
        <v>2.923</v>
      </c>
    </row>
    <row r="161" spans="1:4" x14ac:dyDescent="0.3">
      <c r="A161" s="5">
        <v>1</v>
      </c>
      <c r="B161" s="5">
        <v>3</v>
      </c>
      <c r="C161" s="5" t="s">
        <v>6</v>
      </c>
      <c r="D161" s="3">
        <v>33.351999999999997</v>
      </c>
    </row>
    <row r="162" spans="1:4" x14ac:dyDescent="0.3">
      <c r="A162" s="5">
        <v>2</v>
      </c>
      <c r="B162" s="5">
        <v>3</v>
      </c>
      <c r="C162" s="5" t="s">
        <v>6</v>
      </c>
      <c r="D162" s="3">
        <v>26.114000000000001</v>
      </c>
    </row>
    <row r="163" spans="1:4" x14ac:dyDescent="0.3">
      <c r="A163" s="5">
        <v>3</v>
      </c>
      <c r="B163" s="5">
        <v>3</v>
      </c>
      <c r="C163" s="5" t="s">
        <v>6</v>
      </c>
      <c r="D163" s="3">
        <v>39.927999999999997</v>
      </c>
    </row>
    <row r="164" spans="1:4" x14ac:dyDescent="0.3">
      <c r="A164" s="5">
        <v>3</v>
      </c>
      <c r="B164" s="5">
        <v>3</v>
      </c>
      <c r="C164" s="5" t="s">
        <v>6</v>
      </c>
      <c r="D164" s="3">
        <v>37.106000000000002</v>
      </c>
    </row>
    <row r="165" spans="1:4" x14ac:dyDescent="0.3">
      <c r="A165" s="5">
        <v>3</v>
      </c>
      <c r="B165" s="5">
        <v>3</v>
      </c>
      <c r="C165" s="5" t="s">
        <v>6</v>
      </c>
      <c r="D165" s="3">
        <v>38.750999999999998</v>
      </c>
    </row>
    <row r="166" spans="1:4" x14ac:dyDescent="0.3">
      <c r="A166" s="5">
        <v>3</v>
      </c>
      <c r="B166" s="5">
        <v>3</v>
      </c>
      <c r="C166" s="5" t="s">
        <v>6</v>
      </c>
      <c r="D166" s="3">
        <v>47.552</v>
      </c>
    </row>
    <row r="167" spans="1:4" x14ac:dyDescent="0.3">
      <c r="A167" s="5">
        <v>3</v>
      </c>
      <c r="B167" s="5">
        <v>3</v>
      </c>
      <c r="C167" s="5" t="s">
        <v>6</v>
      </c>
      <c r="D167" s="3">
        <v>35.999000000000002</v>
      </c>
    </row>
    <row r="168" spans="1:4" x14ac:dyDescent="0.3">
      <c r="A168" s="5">
        <v>3</v>
      </c>
      <c r="B168" s="5">
        <v>3</v>
      </c>
      <c r="C168" s="5" t="s">
        <v>6</v>
      </c>
      <c r="D168" s="3">
        <v>35.994999999999997</v>
      </c>
    </row>
    <row r="169" spans="1:4" x14ac:dyDescent="0.3">
      <c r="A169" s="5">
        <v>1</v>
      </c>
      <c r="B169" s="5">
        <v>3</v>
      </c>
      <c r="C169" s="5" t="s">
        <v>6</v>
      </c>
      <c r="D169" s="3">
        <v>30.507999999999999</v>
      </c>
    </row>
    <row r="170" spans="1:4" x14ac:dyDescent="0.3">
      <c r="A170" s="5">
        <v>1</v>
      </c>
      <c r="B170" s="5">
        <v>3</v>
      </c>
      <c r="C170" s="5" t="s">
        <v>6</v>
      </c>
      <c r="D170" s="3">
        <v>31.518999999999998</v>
      </c>
    </row>
    <row r="171" spans="1:4" x14ac:dyDescent="0.3">
      <c r="A171" s="5">
        <v>1</v>
      </c>
      <c r="B171" s="5">
        <v>3</v>
      </c>
      <c r="C171" s="5" t="s">
        <v>6</v>
      </c>
      <c r="D171" s="3">
        <v>29.062999999999999</v>
      </c>
    </row>
    <row r="172" spans="1:4" x14ac:dyDescent="0.3">
      <c r="A172" s="5">
        <v>1</v>
      </c>
      <c r="B172" s="5">
        <v>3</v>
      </c>
      <c r="C172" s="5" t="s">
        <v>6</v>
      </c>
      <c r="D172" s="3">
        <v>28.620999999999999</v>
      </c>
    </row>
    <row r="173" spans="1:4" x14ac:dyDescent="0.3">
      <c r="A173" s="5">
        <v>1</v>
      </c>
      <c r="B173" s="5">
        <v>3</v>
      </c>
      <c r="C173" s="5" t="s">
        <v>6</v>
      </c>
      <c r="D173" s="3">
        <v>28.414999999999999</v>
      </c>
    </row>
    <row r="174" spans="1:4" x14ac:dyDescent="0.3">
      <c r="A174" s="5">
        <v>1</v>
      </c>
      <c r="B174" s="5">
        <v>3</v>
      </c>
      <c r="C174" s="5" t="s">
        <v>6</v>
      </c>
      <c r="D174" s="3">
        <v>30.337</v>
      </c>
    </row>
    <row r="175" spans="1:4" x14ac:dyDescent="0.3">
      <c r="A175" s="5">
        <v>1</v>
      </c>
      <c r="B175" s="5">
        <v>3</v>
      </c>
      <c r="C175" s="5" t="s">
        <v>6</v>
      </c>
      <c r="D175" s="3">
        <v>37.771000000000001</v>
      </c>
    </row>
    <row r="176" spans="1:4" x14ac:dyDescent="0.3">
      <c r="A176" s="5">
        <v>1</v>
      </c>
      <c r="B176" s="5">
        <v>3</v>
      </c>
      <c r="C176" s="5" t="s">
        <v>6</v>
      </c>
      <c r="D176" s="3">
        <v>25.68</v>
      </c>
    </row>
    <row r="177" spans="1:4" x14ac:dyDescent="0.3">
      <c r="A177" s="5">
        <v>1</v>
      </c>
      <c r="B177" s="5">
        <v>3</v>
      </c>
      <c r="C177" s="5" t="s">
        <v>6</v>
      </c>
      <c r="D177" s="3">
        <v>16.469000000000001</v>
      </c>
    </row>
    <row r="178" spans="1:4" x14ac:dyDescent="0.3">
      <c r="A178" s="5">
        <v>1</v>
      </c>
      <c r="B178" s="5">
        <v>3</v>
      </c>
      <c r="C178" s="5" t="s">
        <v>6</v>
      </c>
      <c r="D178" s="3">
        <v>28.881</v>
      </c>
    </row>
    <row r="179" spans="1:4" x14ac:dyDescent="0.3">
      <c r="A179" s="5">
        <v>1</v>
      </c>
      <c r="B179" s="5">
        <v>3</v>
      </c>
      <c r="C179" s="5" t="s">
        <v>6</v>
      </c>
      <c r="D179" s="3">
        <v>31.654</v>
      </c>
    </row>
    <row r="180" spans="1:4" x14ac:dyDescent="0.3">
      <c r="A180" s="5">
        <v>1</v>
      </c>
      <c r="B180" s="5">
        <v>3</v>
      </c>
      <c r="C180" s="5" t="s">
        <v>6</v>
      </c>
      <c r="D180" s="3">
        <v>24.021999999999998</v>
      </c>
    </row>
    <row r="181" spans="1:4" x14ac:dyDescent="0.3">
      <c r="A181" s="5">
        <v>1</v>
      </c>
      <c r="B181" s="5">
        <v>3</v>
      </c>
      <c r="C181" s="5" t="s">
        <v>6</v>
      </c>
      <c r="D181" s="3">
        <v>24.564</v>
      </c>
    </row>
    <row r="182" spans="1:4" x14ac:dyDescent="0.3">
      <c r="A182" s="5">
        <v>1</v>
      </c>
      <c r="B182" s="5">
        <v>3</v>
      </c>
      <c r="C182" s="5" t="s">
        <v>6</v>
      </c>
      <c r="D182" s="3">
        <v>33.281999999999996</v>
      </c>
    </row>
    <row r="183" spans="1:4" x14ac:dyDescent="0.3">
      <c r="A183" s="5">
        <v>1</v>
      </c>
      <c r="B183" s="5">
        <v>3</v>
      </c>
      <c r="C183" s="5" t="s">
        <v>6</v>
      </c>
      <c r="D183" s="3">
        <v>29.824999999999999</v>
      </c>
    </row>
    <row r="184" spans="1:4" x14ac:dyDescent="0.3">
      <c r="A184" s="5">
        <v>1</v>
      </c>
      <c r="B184" s="5">
        <v>3</v>
      </c>
      <c r="C184" s="5" t="s">
        <v>6</v>
      </c>
      <c r="D184" s="3">
        <v>25.960999999999999</v>
      </c>
    </row>
    <row r="185" spans="1:4" x14ac:dyDescent="0.3">
      <c r="A185" s="5">
        <v>1</v>
      </c>
      <c r="B185" s="5">
        <v>3</v>
      </c>
      <c r="C185" s="5" t="s">
        <v>6</v>
      </c>
      <c r="D185" s="3">
        <v>29.808</v>
      </c>
    </row>
    <row r="186" spans="1:4" x14ac:dyDescent="0.3">
      <c r="A186" s="5">
        <v>1</v>
      </c>
      <c r="B186" s="5">
        <v>3</v>
      </c>
      <c r="C186" s="5" t="s">
        <v>6</v>
      </c>
      <c r="D186" s="3">
        <v>33.497</v>
      </c>
    </row>
    <row r="187" spans="1:4" x14ac:dyDescent="0.3">
      <c r="A187" s="5">
        <v>1</v>
      </c>
      <c r="B187" s="5">
        <v>3</v>
      </c>
      <c r="C187" s="5" t="s">
        <v>6</v>
      </c>
      <c r="D187" s="3">
        <v>31.72</v>
      </c>
    </row>
    <row r="188" spans="1:4" x14ac:dyDescent="0.3">
      <c r="A188" s="5">
        <v>1</v>
      </c>
      <c r="B188" s="5">
        <v>3</v>
      </c>
      <c r="C188" s="5" t="s">
        <v>6</v>
      </c>
      <c r="D188" s="3">
        <v>35.314</v>
      </c>
    </row>
    <row r="189" spans="1:4" x14ac:dyDescent="0.3">
      <c r="A189" s="5">
        <v>1</v>
      </c>
      <c r="B189" s="5">
        <v>3</v>
      </c>
      <c r="C189" s="5" t="s">
        <v>6</v>
      </c>
      <c r="D189" s="3">
        <v>33.084000000000003</v>
      </c>
    </row>
    <row r="190" spans="1:4" x14ac:dyDescent="0.3">
      <c r="A190" s="5">
        <v>1</v>
      </c>
      <c r="B190" s="5">
        <v>3</v>
      </c>
      <c r="C190" s="5" t="s">
        <v>6</v>
      </c>
      <c r="D190" s="3">
        <v>32.918999999999997</v>
      </c>
    </row>
    <row r="191" spans="1:4" x14ac:dyDescent="0.3">
      <c r="A191" s="5">
        <v>1</v>
      </c>
      <c r="B191" s="5">
        <v>3</v>
      </c>
      <c r="C191" s="5" t="s">
        <v>6</v>
      </c>
      <c r="D191" s="3">
        <v>28.314</v>
      </c>
    </row>
    <row r="192" spans="1:4" x14ac:dyDescent="0.3">
      <c r="A192" s="5">
        <v>1</v>
      </c>
      <c r="B192" s="5">
        <v>3</v>
      </c>
      <c r="C192" s="5" t="s">
        <v>6</v>
      </c>
      <c r="D192" s="3">
        <v>29.181000000000001</v>
      </c>
    </row>
    <row r="193" spans="1:4" x14ac:dyDescent="0.3">
      <c r="A193" s="5">
        <v>1</v>
      </c>
      <c r="B193" s="5">
        <v>3</v>
      </c>
      <c r="C193" s="5" t="s">
        <v>6</v>
      </c>
      <c r="D193" s="3">
        <v>20.634</v>
      </c>
    </row>
    <row r="194" spans="1:4" x14ac:dyDescent="0.3">
      <c r="A194" s="5">
        <v>1</v>
      </c>
      <c r="B194" s="5">
        <v>3</v>
      </c>
      <c r="C194" s="5" t="s">
        <v>6</v>
      </c>
      <c r="D194" s="3">
        <v>35.189</v>
      </c>
    </row>
    <row r="195" spans="1:4" x14ac:dyDescent="0.3">
      <c r="A195" s="5">
        <v>1</v>
      </c>
      <c r="B195" s="5">
        <v>3</v>
      </c>
      <c r="C195" s="5" t="s">
        <v>6</v>
      </c>
      <c r="D195" s="3">
        <v>25.553999999999998</v>
      </c>
    </row>
    <row r="196" spans="1:4" x14ac:dyDescent="0.3">
      <c r="A196" s="5">
        <v>1</v>
      </c>
      <c r="B196" s="5">
        <v>3</v>
      </c>
      <c r="C196" s="5" t="s">
        <v>6</v>
      </c>
      <c r="D196" s="3">
        <v>28.962</v>
      </c>
    </row>
    <row r="197" spans="1:4" x14ac:dyDescent="0.3">
      <c r="A197" s="5">
        <v>1</v>
      </c>
      <c r="B197" s="5">
        <v>3</v>
      </c>
      <c r="C197" s="5" t="s">
        <v>6</v>
      </c>
      <c r="D197" s="3">
        <v>35.762999999999998</v>
      </c>
    </row>
    <row r="198" spans="1:4" x14ac:dyDescent="0.3">
      <c r="A198" s="5">
        <v>1</v>
      </c>
      <c r="B198" s="5">
        <v>3</v>
      </c>
      <c r="C198" s="5" t="s">
        <v>6</v>
      </c>
      <c r="D198" s="3">
        <v>35.829000000000001</v>
      </c>
    </row>
    <row r="199" spans="1:4" x14ac:dyDescent="0.3">
      <c r="A199" s="5">
        <v>1</v>
      </c>
      <c r="B199" s="5">
        <v>3</v>
      </c>
      <c r="C199" s="5" t="s">
        <v>6</v>
      </c>
      <c r="D199" s="3">
        <v>32.634</v>
      </c>
    </row>
    <row r="200" spans="1:4" x14ac:dyDescent="0.3">
      <c r="B200" s="5">
        <v>3</v>
      </c>
      <c r="C200" s="5" t="s">
        <v>8</v>
      </c>
      <c r="D200" s="8">
        <v>17.323</v>
      </c>
    </row>
    <row r="201" spans="1:4" x14ac:dyDescent="0.3">
      <c r="B201" s="5">
        <v>3</v>
      </c>
      <c r="C201" s="5" t="s">
        <v>8</v>
      </c>
      <c r="D201" s="8">
        <v>17.465</v>
      </c>
    </row>
    <row r="202" spans="1:4" x14ac:dyDescent="0.3">
      <c r="B202" s="5">
        <v>3</v>
      </c>
      <c r="C202" s="5" t="s">
        <v>8</v>
      </c>
      <c r="D202" s="8">
        <v>17.167000000000002</v>
      </c>
    </row>
    <row r="203" spans="1:4" x14ac:dyDescent="0.3">
      <c r="B203" s="5">
        <v>3</v>
      </c>
      <c r="C203" s="5" t="s">
        <v>8</v>
      </c>
      <c r="D203" s="8">
        <v>13.113</v>
      </c>
    </row>
    <row r="204" spans="1:4" x14ac:dyDescent="0.3">
      <c r="B204" s="5">
        <v>3</v>
      </c>
      <c r="C204" s="5" t="s">
        <v>8</v>
      </c>
      <c r="D204" s="8">
        <v>18.309000000000001</v>
      </c>
    </row>
    <row r="205" spans="1:4" x14ac:dyDescent="0.3">
      <c r="B205" s="5">
        <v>3</v>
      </c>
      <c r="C205" s="5" t="s">
        <v>8</v>
      </c>
      <c r="D205" s="8">
        <v>19.484999999999999</v>
      </c>
    </row>
    <row r="206" spans="1:4" x14ac:dyDescent="0.3">
      <c r="B206" s="5">
        <v>3</v>
      </c>
      <c r="C206" s="5" t="s">
        <v>8</v>
      </c>
      <c r="D206" s="8">
        <v>15.266</v>
      </c>
    </row>
    <row r="207" spans="1:4" x14ac:dyDescent="0.3">
      <c r="B207" s="5">
        <v>3</v>
      </c>
      <c r="C207" s="5" t="s">
        <v>8</v>
      </c>
      <c r="D207" s="8">
        <v>15.279</v>
      </c>
    </row>
    <row r="208" spans="1:4" x14ac:dyDescent="0.3">
      <c r="B208" s="5">
        <v>3</v>
      </c>
      <c r="C208" s="5" t="s">
        <v>8</v>
      </c>
      <c r="D208" s="8">
        <v>12.125</v>
      </c>
    </row>
    <row r="209" spans="2:4" x14ac:dyDescent="0.3">
      <c r="B209" s="5">
        <v>3</v>
      </c>
      <c r="C209" s="5" t="s">
        <v>8</v>
      </c>
      <c r="D209" s="8">
        <v>14.968999999999999</v>
      </c>
    </row>
    <row r="210" spans="2:4" x14ac:dyDescent="0.3">
      <c r="B210" s="5">
        <v>3</v>
      </c>
      <c r="C210" s="5" t="s">
        <v>8</v>
      </c>
      <c r="D210" s="8">
        <v>12.058999999999999</v>
      </c>
    </row>
    <row r="211" spans="2:4" x14ac:dyDescent="0.3">
      <c r="B211" s="5">
        <v>3</v>
      </c>
      <c r="C211" s="5" t="s">
        <v>8</v>
      </c>
      <c r="D211" s="8">
        <v>10.978</v>
      </c>
    </row>
    <row r="212" spans="2:4" x14ac:dyDescent="0.3">
      <c r="B212" s="5">
        <v>3</v>
      </c>
      <c r="C212" s="5" t="s">
        <v>8</v>
      </c>
      <c r="D212" s="8">
        <v>15.598000000000001</v>
      </c>
    </row>
    <row r="213" spans="2:4" x14ac:dyDescent="0.3">
      <c r="B213" s="5">
        <v>3</v>
      </c>
      <c r="C213" s="5" t="s">
        <v>8</v>
      </c>
      <c r="D213" s="8">
        <v>16.099</v>
      </c>
    </row>
    <row r="214" spans="2:4" x14ac:dyDescent="0.3">
      <c r="B214" s="5">
        <v>3</v>
      </c>
      <c r="C214" s="5" t="s">
        <v>8</v>
      </c>
      <c r="D214" s="8">
        <v>12.452999999999999</v>
      </c>
    </row>
    <row r="215" spans="2:4" x14ac:dyDescent="0.3">
      <c r="B215" s="5">
        <v>3</v>
      </c>
      <c r="C215" s="5" t="s">
        <v>8</v>
      </c>
      <c r="D215" s="8">
        <v>17.600000000000001</v>
      </c>
    </row>
    <row r="216" spans="2:4" x14ac:dyDescent="0.3">
      <c r="B216" s="5">
        <v>3</v>
      </c>
      <c r="C216" s="5" t="s">
        <v>8</v>
      </c>
      <c r="D216" s="8">
        <v>13.679</v>
      </c>
    </row>
    <row r="217" spans="2:4" x14ac:dyDescent="0.3">
      <c r="B217" s="5">
        <v>3</v>
      </c>
      <c r="C217" s="5" t="s">
        <v>8</v>
      </c>
      <c r="D217" s="8">
        <v>12.916</v>
      </c>
    </row>
    <row r="218" spans="2:4" x14ac:dyDescent="0.3">
      <c r="B218" s="5">
        <v>3</v>
      </c>
      <c r="C218" s="5" t="s">
        <v>8</v>
      </c>
      <c r="D218" s="8">
        <v>13.957000000000001</v>
      </c>
    </row>
    <row r="219" spans="2:4" x14ac:dyDescent="0.3">
      <c r="B219" s="5">
        <v>3</v>
      </c>
      <c r="C219" s="5" t="s">
        <v>8</v>
      </c>
      <c r="D219" s="8">
        <v>10.472</v>
      </c>
    </row>
    <row r="220" spans="2:4" x14ac:dyDescent="0.3">
      <c r="B220" s="5">
        <v>3</v>
      </c>
      <c r="C220" s="5" t="s">
        <v>8</v>
      </c>
      <c r="D220" s="8">
        <v>11.747</v>
      </c>
    </row>
    <row r="221" spans="2:4" x14ac:dyDescent="0.3">
      <c r="B221" s="5">
        <v>3</v>
      </c>
      <c r="C221" s="5" t="s">
        <v>8</v>
      </c>
      <c r="D221" s="8">
        <v>17.821000000000002</v>
      </c>
    </row>
    <row r="222" spans="2:4" x14ac:dyDescent="0.3">
      <c r="B222" s="5">
        <v>3</v>
      </c>
      <c r="C222" s="5" t="s">
        <v>8</v>
      </c>
      <c r="D222" s="8">
        <v>16.119</v>
      </c>
    </row>
    <row r="223" spans="2:4" x14ac:dyDescent="0.3">
      <c r="B223" s="5">
        <v>3</v>
      </c>
      <c r="C223" s="5" t="s">
        <v>8</v>
      </c>
      <c r="D223" s="8">
        <v>15.122999999999999</v>
      </c>
    </row>
    <row r="224" spans="2:4" x14ac:dyDescent="0.3">
      <c r="B224" s="5">
        <v>3</v>
      </c>
      <c r="C224" s="5" t="s">
        <v>8</v>
      </c>
      <c r="D224" s="8">
        <v>15.073</v>
      </c>
    </row>
    <row r="225" spans="2:4" x14ac:dyDescent="0.3">
      <c r="B225" s="5">
        <v>3</v>
      </c>
      <c r="C225" s="5" t="s">
        <v>8</v>
      </c>
      <c r="D225" s="8">
        <v>14.416</v>
      </c>
    </row>
    <row r="226" spans="2:4" x14ac:dyDescent="0.3">
      <c r="B226" s="5">
        <v>3</v>
      </c>
      <c r="C226" s="5" t="s">
        <v>8</v>
      </c>
      <c r="D226" s="8">
        <v>20.38</v>
      </c>
    </row>
    <row r="227" spans="2:4" x14ac:dyDescent="0.3">
      <c r="B227" s="5">
        <v>3</v>
      </c>
      <c r="C227" s="5" t="s">
        <v>8</v>
      </c>
      <c r="D227" s="8">
        <v>15.834</v>
      </c>
    </row>
    <row r="228" spans="2:4" x14ac:dyDescent="0.3">
      <c r="B228" s="5">
        <v>3</v>
      </c>
      <c r="C228" s="5" t="s">
        <v>8</v>
      </c>
      <c r="D228" s="8">
        <v>18.670999999999999</v>
      </c>
    </row>
    <row r="229" spans="2:4" x14ac:dyDescent="0.3">
      <c r="B229" s="5">
        <v>3</v>
      </c>
      <c r="C229" s="5" t="s">
        <v>8</v>
      </c>
      <c r="D229" s="8">
        <v>12.673999999999999</v>
      </c>
    </row>
    <row r="230" spans="2:4" x14ac:dyDescent="0.3">
      <c r="B230" s="5">
        <v>3</v>
      </c>
      <c r="C230" s="5" t="s">
        <v>8</v>
      </c>
      <c r="D230" s="8">
        <v>10.545999999999999</v>
      </c>
    </row>
    <row r="231" spans="2:4" x14ac:dyDescent="0.3">
      <c r="B231" s="5">
        <v>3</v>
      </c>
      <c r="C231" s="5" t="s">
        <v>8</v>
      </c>
      <c r="D231" s="8">
        <v>17.600000000000001</v>
      </c>
    </row>
    <row r="232" spans="2:4" x14ac:dyDescent="0.3">
      <c r="B232" s="5">
        <v>3</v>
      </c>
      <c r="C232" s="5" t="s">
        <v>8</v>
      </c>
      <c r="D232" s="8">
        <v>14.723000000000001</v>
      </c>
    </row>
    <row r="233" spans="2:4" x14ac:dyDescent="0.3">
      <c r="B233" s="5">
        <v>3</v>
      </c>
      <c r="C233" s="5" t="s">
        <v>8</v>
      </c>
      <c r="D233" s="8">
        <v>14.52</v>
      </c>
    </row>
    <row r="234" spans="2:4" x14ac:dyDescent="0.3">
      <c r="B234" s="5">
        <v>3</v>
      </c>
      <c r="C234" s="5" t="s">
        <v>8</v>
      </c>
      <c r="D234" s="8">
        <v>12.537000000000001</v>
      </c>
    </row>
    <row r="235" spans="2:4" x14ac:dyDescent="0.3">
      <c r="B235" s="5">
        <v>3</v>
      </c>
      <c r="C235" s="5" t="s">
        <v>8</v>
      </c>
      <c r="D235" s="8">
        <v>20.635999999999999</v>
      </c>
    </row>
    <row r="236" spans="2:4" x14ac:dyDescent="0.3">
      <c r="B236" s="5">
        <v>3</v>
      </c>
      <c r="C236" s="5" t="s">
        <v>8</v>
      </c>
      <c r="D236" s="8">
        <v>14.747</v>
      </c>
    </row>
    <row r="237" spans="2:4" x14ac:dyDescent="0.3">
      <c r="B237" s="5">
        <v>3</v>
      </c>
      <c r="C237" s="5" t="s">
        <v>9</v>
      </c>
      <c r="D237" s="9">
        <v>11471</v>
      </c>
    </row>
    <row r="238" spans="2:4" x14ac:dyDescent="0.3">
      <c r="B238" s="5">
        <v>3</v>
      </c>
      <c r="C238" s="5" t="s">
        <v>9</v>
      </c>
      <c r="D238" s="9">
        <v>12113</v>
      </c>
    </row>
    <row r="239" spans="2:4" x14ac:dyDescent="0.3">
      <c r="B239" s="5">
        <v>3</v>
      </c>
      <c r="C239" s="5" t="s">
        <v>9</v>
      </c>
      <c r="D239" s="9">
        <v>13732</v>
      </c>
    </row>
    <row r="240" spans="2:4" x14ac:dyDescent="0.3">
      <c r="B240" s="5">
        <v>3</v>
      </c>
      <c r="C240" s="5" t="s">
        <v>9</v>
      </c>
      <c r="D240" s="9">
        <v>13416</v>
      </c>
    </row>
    <row r="241" spans="2:4" x14ac:dyDescent="0.3">
      <c r="B241" s="5">
        <v>3</v>
      </c>
      <c r="C241" s="5" t="s">
        <v>9</v>
      </c>
      <c r="D241" s="9">
        <v>17702</v>
      </c>
    </row>
    <row r="242" spans="2:4" x14ac:dyDescent="0.3">
      <c r="B242" s="5">
        <v>3</v>
      </c>
      <c r="C242" s="5" t="s">
        <v>9</v>
      </c>
      <c r="D242" s="9">
        <v>12445</v>
      </c>
    </row>
    <row r="243" spans="2:4" x14ac:dyDescent="0.3">
      <c r="B243" s="5">
        <v>3</v>
      </c>
      <c r="C243" s="5" t="s">
        <v>9</v>
      </c>
      <c r="D243" s="9">
        <v>9655</v>
      </c>
    </row>
    <row r="244" spans="2:4" x14ac:dyDescent="0.3">
      <c r="B244" s="5">
        <v>3</v>
      </c>
      <c r="C244" s="5" t="s">
        <v>9</v>
      </c>
      <c r="D244" s="9">
        <v>7922</v>
      </c>
    </row>
    <row r="245" spans="2:4" x14ac:dyDescent="0.3">
      <c r="B245" s="5">
        <v>3</v>
      </c>
      <c r="C245" s="5" t="s">
        <v>9</v>
      </c>
      <c r="D245" s="9">
        <v>9081</v>
      </c>
    </row>
    <row r="246" spans="2:4" x14ac:dyDescent="0.3">
      <c r="B246" s="5">
        <v>3</v>
      </c>
      <c r="C246" s="5" t="s">
        <v>9</v>
      </c>
      <c r="D246" s="9">
        <v>18973</v>
      </c>
    </row>
    <row r="247" spans="2:4" x14ac:dyDescent="0.3">
      <c r="B247" s="5">
        <v>3</v>
      </c>
      <c r="C247" s="5" t="s">
        <v>9</v>
      </c>
      <c r="D247" s="9">
        <v>15999</v>
      </c>
    </row>
    <row r="248" spans="2:4" x14ac:dyDescent="0.3">
      <c r="B248" s="5">
        <v>3</v>
      </c>
      <c r="C248" s="5" t="s">
        <v>9</v>
      </c>
      <c r="D248" s="9">
        <v>21573</v>
      </c>
    </row>
    <row r="249" spans="2:4" x14ac:dyDescent="0.3">
      <c r="B249" s="5">
        <v>3</v>
      </c>
      <c r="C249" s="5" t="s">
        <v>9</v>
      </c>
      <c r="D249" s="9">
        <v>12982</v>
      </c>
    </row>
    <row r="250" spans="2:4" x14ac:dyDescent="0.3">
      <c r="B250" s="5">
        <v>3</v>
      </c>
      <c r="C250" s="5" t="s">
        <v>9</v>
      </c>
      <c r="D250" s="9">
        <v>16558</v>
      </c>
    </row>
    <row r="251" spans="2:4" x14ac:dyDescent="0.3">
      <c r="B251" s="5">
        <v>3</v>
      </c>
      <c r="C251" s="5" t="s">
        <v>9</v>
      </c>
      <c r="D251" s="9">
        <v>10972</v>
      </c>
    </row>
    <row r="252" spans="2:4" x14ac:dyDescent="0.3">
      <c r="B252" s="5">
        <v>3</v>
      </c>
      <c r="C252" s="5" t="s">
        <v>9</v>
      </c>
      <c r="D252" s="9">
        <v>12437</v>
      </c>
    </row>
    <row r="253" spans="2:4" x14ac:dyDescent="0.3">
      <c r="B253" s="5">
        <v>3</v>
      </c>
      <c r="C253" s="5" t="s">
        <v>9</v>
      </c>
      <c r="D253" s="9">
        <v>14674</v>
      </c>
    </row>
    <row r="254" spans="2:4" x14ac:dyDescent="0.3">
      <c r="B254" s="5">
        <v>3</v>
      </c>
      <c r="C254" s="5" t="s">
        <v>9</v>
      </c>
      <c r="D254" s="9">
        <v>22670</v>
      </c>
    </row>
    <row r="255" spans="2:4" x14ac:dyDescent="0.3">
      <c r="B255" s="5">
        <v>3</v>
      </c>
      <c r="C255" s="5" t="s">
        <v>9</v>
      </c>
      <c r="D255" s="9">
        <v>12548</v>
      </c>
    </row>
    <row r="256" spans="2:4" x14ac:dyDescent="0.3">
      <c r="B256" s="5">
        <v>3</v>
      </c>
      <c r="C256" s="5" t="s">
        <v>9</v>
      </c>
      <c r="D256" s="9">
        <v>14346</v>
      </c>
    </row>
    <row r="257" spans="2:4" x14ac:dyDescent="0.3">
      <c r="B257" s="5">
        <v>3</v>
      </c>
      <c r="C257" s="5" t="s">
        <v>9</v>
      </c>
      <c r="D257" s="9">
        <v>12902</v>
      </c>
    </row>
    <row r="258" spans="2:4" x14ac:dyDescent="0.3">
      <c r="B258" s="5">
        <v>3</v>
      </c>
      <c r="C258" s="5" t="s">
        <v>9</v>
      </c>
      <c r="D258" s="9">
        <v>15407</v>
      </c>
    </row>
    <row r="259" spans="2:4" x14ac:dyDescent="0.3">
      <c r="B259" s="5">
        <v>3</v>
      </c>
      <c r="C259" s="5" t="s">
        <v>9</v>
      </c>
      <c r="D259" s="9">
        <v>15865</v>
      </c>
    </row>
    <row r="260" spans="2:4" x14ac:dyDescent="0.3">
      <c r="B260" s="5">
        <v>3</v>
      </c>
      <c r="C260" s="5" t="s">
        <v>9</v>
      </c>
      <c r="D260" s="9">
        <v>11046</v>
      </c>
    </row>
    <row r="261" spans="2:4" x14ac:dyDescent="0.3">
      <c r="B261" s="5">
        <v>3</v>
      </c>
      <c r="C261" s="5" t="s">
        <v>9</v>
      </c>
      <c r="D261" s="9">
        <v>11400</v>
      </c>
    </row>
    <row r="262" spans="2:4" x14ac:dyDescent="0.3">
      <c r="B262" s="5">
        <v>3</v>
      </c>
      <c r="C262" s="5" t="s">
        <v>9</v>
      </c>
      <c r="D262" s="9">
        <v>15688</v>
      </c>
    </row>
    <row r="263" spans="2:4" x14ac:dyDescent="0.3">
      <c r="B263" s="5">
        <v>3</v>
      </c>
      <c r="C263" s="5" t="s">
        <v>9</v>
      </c>
      <c r="D263" s="9">
        <v>22066</v>
      </c>
    </row>
    <row r="264" spans="2:4" x14ac:dyDescent="0.3">
      <c r="B264" s="5">
        <v>3</v>
      </c>
      <c r="C264" s="5" t="s">
        <v>9</v>
      </c>
      <c r="D264" s="9">
        <v>18629</v>
      </c>
    </row>
    <row r="265" spans="2:4" x14ac:dyDescent="0.3">
      <c r="B265" s="5">
        <v>3</v>
      </c>
      <c r="C265" s="5" t="s">
        <v>9</v>
      </c>
      <c r="D265" s="9">
        <v>20549</v>
      </c>
    </row>
    <row r="266" spans="2:4" x14ac:dyDescent="0.3">
      <c r="B266" s="5">
        <v>3</v>
      </c>
      <c r="C266" s="5" t="s">
        <v>9</v>
      </c>
      <c r="D266" s="9">
        <v>10998</v>
      </c>
    </row>
    <row r="267" spans="2:4" x14ac:dyDescent="0.3">
      <c r="B267" s="5">
        <v>3</v>
      </c>
      <c r="C267" s="5" t="s">
        <v>7</v>
      </c>
      <c r="D267" s="4">
        <v>33.405999999999999</v>
      </c>
    </row>
    <row r="268" spans="2:4" x14ac:dyDescent="0.3">
      <c r="B268" s="5">
        <v>3</v>
      </c>
      <c r="C268" s="5" t="s">
        <v>7</v>
      </c>
      <c r="D268" s="4">
        <v>26.225000000000001</v>
      </c>
    </row>
    <row r="269" spans="2:4" x14ac:dyDescent="0.3">
      <c r="B269" s="5">
        <v>3</v>
      </c>
      <c r="C269" s="5" t="s">
        <v>7</v>
      </c>
      <c r="D269" s="4">
        <v>25.727</v>
      </c>
    </row>
    <row r="270" spans="2:4" x14ac:dyDescent="0.3">
      <c r="B270" s="5">
        <v>3</v>
      </c>
      <c r="C270" s="5" t="s">
        <v>7</v>
      </c>
      <c r="D270" s="4">
        <v>25.292999999999999</v>
      </c>
    </row>
    <row r="271" spans="2:4" x14ac:dyDescent="0.3">
      <c r="B271" s="5">
        <v>3</v>
      </c>
      <c r="C271" s="5" t="s">
        <v>7</v>
      </c>
      <c r="D271" s="4">
        <v>18.832999999999998</v>
      </c>
    </row>
    <row r="272" spans="2:4" x14ac:dyDescent="0.3">
      <c r="B272" s="5">
        <v>3</v>
      </c>
      <c r="C272" s="5" t="s">
        <v>7</v>
      </c>
      <c r="D272" s="4">
        <v>20.917000000000002</v>
      </c>
    </row>
    <row r="273" spans="2:4" x14ac:dyDescent="0.3">
      <c r="B273" s="5">
        <v>3</v>
      </c>
      <c r="C273" s="5" t="s">
        <v>7</v>
      </c>
      <c r="D273" s="4">
        <v>30.920999999999999</v>
      </c>
    </row>
    <row r="274" spans="2:4" x14ac:dyDescent="0.3">
      <c r="B274" s="5">
        <v>3</v>
      </c>
      <c r="C274" s="5" t="s">
        <v>7</v>
      </c>
      <c r="D274" s="4">
        <v>33.594000000000001</v>
      </c>
    </row>
    <row r="275" spans="2:4" x14ac:dyDescent="0.3">
      <c r="B275" s="5">
        <v>3</v>
      </c>
      <c r="C275" s="5" t="s">
        <v>7</v>
      </c>
      <c r="D275" s="4">
        <v>31.29</v>
      </c>
    </row>
    <row r="276" spans="2:4" x14ac:dyDescent="0.3">
      <c r="B276" s="5">
        <v>3</v>
      </c>
      <c r="C276" s="5" t="s">
        <v>7</v>
      </c>
      <c r="D276" s="4">
        <v>31.626999999999999</v>
      </c>
    </row>
    <row r="277" spans="2:4" x14ac:dyDescent="0.3">
      <c r="B277" s="5">
        <v>3</v>
      </c>
      <c r="C277" s="5" t="s">
        <v>7</v>
      </c>
      <c r="D277" s="4">
        <v>33.383000000000003</v>
      </c>
    </row>
    <row r="278" spans="2:4" x14ac:dyDescent="0.3">
      <c r="B278" s="5">
        <v>3</v>
      </c>
      <c r="C278" s="5" t="s">
        <v>7</v>
      </c>
      <c r="D278" s="4">
        <v>33.697000000000003</v>
      </c>
    </row>
    <row r="279" spans="2:4" x14ac:dyDescent="0.3">
      <c r="B279" s="5">
        <v>3</v>
      </c>
      <c r="C279" s="5" t="s">
        <v>7</v>
      </c>
      <c r="D279" s="4">
        <v>32.234000000000002</v>
      </c>
    </row>
    <row r="280" spans="2:4" x14ac:dyDescent="0.3">
      <c r="B280" s="5">
        <v>3</v>
      </c>
      <c r="C280" s="5" t="s">
        <v>7</v>
      </c>
      <c r="D280" s="4">
        <v>41.951999999999998</v>
      </c>
    </row>
    <row r="281" spans="2:4" x14ac:dyDescent="0.3">
      <c r="B281" s="5">
        <v>3</v>
      </c>
      <c r="C281" s="5" t="s">
        <v>7</v>
      </c>
      <c r="D281" s="4">
        <v>41.795999999999999</v>
      </c>
    </row>
    <row r="282" spans="2:4" x14ac:dyDescent="0.3">
      <c r="B282" s="5">
        <v>3</v>
      </c>
      <c r="C282" s="5" t="s">
        <v>7</v>
      </c>
      <c r="D282" s="4">
        <v>25.338000000000001</v>
      </c>
    </row>
    <row r="283" spans="2:4" x14ac:dyDescent="0.3">
      <c r="B283" s="5">
        <v>3</v>
      </c>
      <c r="C283" s="5" t="s">
        <v>7</v>
      </c>
      <c r="D283" s="4">
        <v>20.254999999999999</v>
      </c>
    </row>
    <row r="284" spans="2:4" x14ac:dyDescent="0.3">
      <c r="B284" s="5">
        <v>3</v>
      </c>
      <c r="C284" s="5" t="s">
        <v>7</v>
      </c>
      <c r="D284" s="4">
        <v>32.267000000000003</v>
      </c>
    </row>
    <row r="285" spans="2:4" x14ac:dyDescent="0.3">
      <c r="B285" s="5">
        <v>3</v>
      </c>
      <c r="C285" s="5" t="s">
        <v>7</v>
      </c>
      <c r="D285" s="4">
        <v>34.279000000000003</v>
      </c>
    </row>
    <row r="286" spans="2:4" x14ac:dyDescent="0.3">
      <c r="B286" s="5">
        <v>3</v>
      </c>
      <c r="C286" s="5" t="s">
        <v>7</v>
      </c>
      <c r="D286" s="4">
        <v>35.182000000000002</v>
      </c>
    </row>
    <row r="287" spans="2:4" x14ac:dyDescent="0.3">
      <c r="B287" s="5">
        <v>3</v>
      </c>
      <c r="C287" s="5" t="s">
        <v>7</v>
      </c>
      <c r="D287" s="4">
        <v>24.509</v>
      </c>
    </row>
    <row r="288" spans="2:4" x14ac:dyDescent="0.3">
      <c r="B288" s="5">
        <v>3</v>
      </c>
      <c r="C288" s="5" t="s">
        <v>7</v>
      </c>
      <c r="D288" s="4">
        <v>21.847999999999999</v>
      </c>
    </row>
    <row r="289" spans="2:4" x14ac:dyDescent="0.3">
      <c r="B289" s="5">
        <v>3</v>
      </c>
      <c r="C289" s="5" t="s">
        <v>7</v>
      </c>
      <c r="D289" s="4">
        <v>27.353000000000002</v>
      </c>
    </row>
    <row r="290" spans="2:4" x14ac:dyDescent="0.3">
      <c r="B290" s="5">
        <v>3</v>
      </c>
      <c r="C290" s="5" t="s">
        <v>7</v>
      </c>
      <c r="D290" s="4">
        <v>20.138000000000002</v>
      </c>
    </row>
    <row r="291" spans="2:4" x14ac:dyDescent="0.3">
      <c r="B291" s="5">
        <v>3</v>
      </c>
      <c r="C291" s="5" t="s">
        <v>7</v>
      </c>
      <c r="D291" s="4">
        <v>33.348999999999997</v>
      </c>
    </row>
    <row r="292" spans="2:4" x14ac:dyDescent="0.3">
      <c r="B292" s="5">
        <v>3</v>
      </c>
      <c r="C292" s="5" t="s">
        <v>7</v>
      </c>
      <c r="D292" s="4">
        <v>39.704000000000001</v>
      </c>
    </row>
    <row r="293" spans="2:4" x14ac:dyDescent="0.3">
      <c r="B293" s="5">
        <v>3</v>
      </c>
      <c r="C293" s="5" t="s">
        <v>7</v>
      </c>
      <c r="D293" s="4">
        <v>15.977</v>
      </c>
    </row>
    <row r="294" spans="2:4" x14ac:dyDescent="0.3">
      <c r="B294" s="5">
        <v>3</v>
      </c>
      <c r="C294" s="5" t="s">
        <v>7</v>
      </c>
      <c r="D294" s="4">
        <v>18.484000000000002</v>
      </c>
    </row>
    <row r="295" spans="2:4" x14ac:dyDescent="0.3">
      <c r="B295" s="5">
        <v>3</v>
      </c>
      <c r="C295" s="5" t="s">
        <v>7</v>
      </c>
      <c r="D295" s="4">
        <v>34.103000000000002</v>
      </c>
    </row>
    <row r="296" spans="2:4" x14ac:dyDescent="0.3">
      <c r="B296" s="5">
        <v>3</v>
      </c>
      <c r="C296" s="5" t="s">
        <v>7</v>
      </c>
      <c r="D296" s="4">
        <v>23.678999999999998</v>
      </c>
    </row>
    <row r="297" spans="2:4" x14ac:dyDescent="0.3">
      <c r="B297" s="5">
        <v>3</v>
      </c>
      <c r="C297" s="5" t="s">
        <v>7</v>
      </c>
      <c r="D297" s="4">
        <v>43.881</v>
      </c>
    </row>
    <row r="298" spans="2:4" x14ac:dyDescent="0.3">
      <c r="B298" s="5">
        <v>3</v>
      </c>
      <c r="C298" s="5" t="s">
        <v>7</v>
      </c>
      <c r="D298" s="4">
        <v>36.722999999999999</v>
      </c>
    </row>
    <row r="299" spans="2:4" x14ac:dyDescent="0.3">
      <c r="B299" s="5">
        <v>3</v>
      </c>
      <c r="C299" s="5" t="s">
        <v>7</v>
      </c>
      <c r="D299" s="4">
        <v>36.936</v>
      </c>
    </row>
    <row r="300" spans="2:4" x14ac:dyDescent="0.3">
      <c r="B300" s="5">
        <v>3</v>
      </c>
      <c r="C300" s="5" t="s">
        <v>7</v>
      </c>
      <c r="D300" s="4">
        <v>32.090000000000003</v>
      </c>
    </row>
    <row r="301" spans="2:4" x14ac:dyDescent="0.3">
      <c r="B301" s="5">
        <v>3</v>
      </c>
      <c r="C301" s="5" t="s">
        <v>7</v>
      </c>
      <c r="D301" s="4">
        <v>30.274000000000001</v>
      </c>
    </row>
    <row r="302" spans="2:4" x14ac:dyDescent="0.3">
      <c r="B302" s="5">
        <v>3</v>
      </c>
      <c r="C302" s="5" t="s">
        <v>7</v>
      </c>
      <c r="D302" s="4">
        <v>35.445</v>
      </c>
    </row>
    <row r="303" spans="2:4" x14ac:dyDescent="0.3">
      <c r="B303" s="5">
        <v>3</v>
      </c>
      <c r="C303" s="5" t="s">
        <v>10</v>
      </c>
      <c r="D303" s="4">
        <v>29.584</v>
      </c>
    </row>
    <row r="304" spans="2:4" x14ac:dyDescent="0.3">
      <c r="B304" s="5">
        <v>3</v>
      </c>
      <c r="C304" s="5" t="s">
        <v>10</v>
      </c>
      <c r="D304" s="4">
        <v>28.672000000000001</v>
      </c>
    </row>
    <row r="305" spans="2:4" x14ac:dyDescent="0.3">
      <c r="B305" s="5">
        <v>3</v>
      </c>
      <c r="C305" s="5" t="s">
        <v>10</v>
      </c>
      <c r="D305" s="4">
        <v>26.082000000000001</v>
      </c>
    </row>
    <row r="306" spans="2:4" x14ac:dyDescent="0.3">
      <c r="B306" s="5">
        <v>3</v>
      </c>
      <c r="C306" s="5" t="s">
        <v>10</v>
      </c>
      <c r="D306" s="4">
        <v>23.19</v>
      </c>
    </row>
    <row r="307" spans="2:4" x14ac:dyDescent="0.3">
      <c r="B307" s="5">
        <v>3</v>
      </c>
      <c r="C307" s="5" t="s">
        <v>10</v>
      </c>
      <c r="D307" s="4">
        <v>25.417999999999999</v>
      </c>
    </row>
    <row r="308" spans="2:4" x14ac:dyDescent="0.3">
      <c r="B308" s="5">
        <v>3</v>
      </c>
      <c r="C308" s="5" t="s">
        <v>10</v>
      </c>
      <c r="D308" s="4">
        <v>15.323</v>
      </c>
    </row>
    <row r="309" spans="2:4" x14ac:dyDescent="0.3">
      <c r="B309" s="5">
        <v>3</v>
      </c>
      <c r="C309" s="5" t="s">
        <v>10</v>
      </c>
      <c r="D309" s="4">
        <v>26.044</v>
      </c>
    </row>
    <row r="310" spans="2:4" x14ac:dyDescent="0.3">
      <c r="B310" s="5">
        <v>3</v>
      </c>
      <c r="C310" s="5" t="s">
        <v>10</v>
      </c>
      <c r="D310" s="4">
        <v>26.937000000000001</v>
      </c>
    </row>
    <row r="311" spans="2:4" x14ac:dyDescent="0.3">
      <c r="B311" s="5">
        <v>3</v>
      </c>
      <c r="C311" s="5" t="s">
        <v>10</v>
      </c>
      <c r="D311" s="4">
        <v>21.648</v>
      </c>
    </row>
    <row r="312" spans="2:4" x14ac:dyDescent="0.3">
      <c r="B312" s="5">
        <v>3</v>
      </c>
      <c r="C312" s="5" t="s">
        <v>10</v>
      </c>
      <c r="D312" s="4">
        <v>21.966999999999999</v>
      </c>
    </row>
    <row r="313" spans="2:4" x14ac:dyDescent="0.3">
      <c r="B313" s="5">
        <v>3</v>
      </c>
      <c r="C313" s="5" t="s">
        <v>10</v>
      </c>
      <c r="D313" s="4">
        <v>15.082000000000001</v>
      </c>
    </row>
    <row r="314" spans="2:4" x14ac:dyDescent="0.3">
      <c r="B314" s="5">
        <v>3</v>
      </c>
      <c r="C314" s="5" t="s">
        <v>10</v>
      </c>
      <c r="D314" s="4">
        <v>15.867000000000001</v>
      </c>
    </row>
    <row r="315" spans="2:4" x14ac:dyDescent="0.3">
      <c r="B315" s="5">
        <v>3</v>
      </c>
      <c r="C315" s="5" t="s">
        <v>10</v>
      </c>
      <c r="D315" s="4">
        <v>21.042000000000002</v>
      </c>
    </row>
    <row r="316" spans="2:4" x14ac:dyDescent="0.3">
      <c r="B316" s="5">
        <v>3</v>
      </c>
      <c r="C316" s="5" t="s">
        <v>10</v>
      </c>
      <c r="D316" s="4">
        <v>25.802</v>
      </c>
    </row>
    <row r="317" spans="2:4" x14ac:dyDescent="0.3">
      <c r="B317" s="5">
        <v>3</v>
      </c>
      <c r="C317" s="5" t="s">
        <v>10</v>
      </c>
      <c r="D317" s="4">
        <v>29.93</v>
      </c>
    </row>
    <row r="318" spans="2:4" x14ac:dyDescent="0.3">
      <c r="B318" s="5">
        <v>3</v>
      </c>
      <c r="C318" s="5" t="s">
        <v>10</v>
      </c>
      <c r="D318" s="4">
        <v>20.963999999999999</v>
      </c>
    </row>
    <row r="319" spans="2:4" x14ac:dyDescent="0.3">
      <c r="B319" s="5">
        <v>3</v>
      </c>
      <c r="C319" s="5" t="s">
        <v>10</v>
      </c>
      <c r="D319" s="4">
        <v>20.963999999999999</v>
      </c>
    </row>
    <row r="320" spans="2:4" x14ac:dyDescent="0.3">
      <c r="B320" s="5">
        <v>3</v>
      </c>
      <c r="C320" s="5" t="s">
        <v>10</v>
      </c>
      <c r="D320" s="4">
        <v>21.670999999999999</v>
      </c>
    </row>
    <row r="321" spans="2:4" x14ac:dyDescent="0.3">
      <c r="B321" s="5">
        <v>3</v>
      </c>
      <c r="C321" s="5" t="s">
        <v>10</v>
      </c>
      <c r="D321" s="4">
        <v>21.814</v>
      </c>
    </row>
    <row r="322" spans="2:4" x14ac:dyDescent="0.3">
      <c r="B322" s="5">
        <v>3</v>
      </c>
      <c r="C322" s="5" t="s">
        <v>10</v>
      </c>
      <c r="D322" s="4">
        <v>16.881</v>
      </c>
    </row>
    <row r="323" spans="2:4" x14ac:dyDescent="0.3">
      <c r="B323" s="5">
        <v>3</v>
      </c>
      <c r="C323" s="5" t="s">
        <v>10</v>
      </c>
      <c r="D323" s="4">
        <v>28.675999999999998</v>
      </c>
    </row>
    <row r="324" spans="2:4" x14ac:dyDescent="0.3">
      <c r="B324" s="5">
        <v>3</v>
      </c>
      <c r="C324" s="5" t="s">
        <v>10</v>
      </c>
      <c r="D324" s="4">
        <v>19.47</v>
      </c>
    </row>
    <row r="325" spans="2:4" x14ac:dyDescent="0.3">
      <c r="B325" s="5">
        <v>3</v>
      </c>
      <c r="C325" s="5" t="s">
        <v>10</v>
      </c>
      <c r="D325" s="4">
        <v>17.754999999999999</v>
      </c>
    </row>
    <row r="326" spans="2:4" x14ac:dyDescent="0.3">
      <c r="B326" s="5">
        <v>3</v>
      </c>
      <c r="C326" s="5" t="s">
        <v>10</v>
      </c>
      <c r="D326" s="4">
        <v>16.343</v>
      </c>
    </row>
    <row r="327" spans="2:4" x14ac:dyDescent="0.3">
      <c r="B327" s="5">
        <v>3</v>
      </c>
      <c r="C327" s="5" t="s">
        <v>10</v>
      </c>
      <c r="D327" s="4">
        <v>11.933</v>
      </c>
    </row>
    <row r="328" spans="2:4" x14ac:dyDescent="0.3">
      <c r="B328" s="5">
        <v>3</v>
      </c>
      <c r="C328" s="5" t="s">
        <v>10</v>
      </c>
      <c r="D328" s="4">
        <v>14.621</v>
      </c>
    </row>
    <row r="329" spans="2:4" x14ac:dyDescent="0.3">
      <c r="B329" s="5">
        <v>3</v>
      </c>
      <c r="C329" s="5" t="s">
        <v>10</v>
      </c>
      <c r="D329" s="4">
        <v>14.159000000000001</v>
      </c>
    </row>
    <row r="330" spans="2:4" x14ac:dyDescent="0.3">
      <c r="B330" s="5">
        <v>3</v>
      </c>
      <c r="C330" s="5" t="s">
        <v>10</v>
      </c>
      <c r="D330" s="4">
        <v>25.870999999999999</v>
      </c>
    </row>
    <row r="331" spans="2:4" x14ac:dyDescent="0.3">
      <c r="B331" s="5">
        <v>3</v>
      </c>
      <c r="C331" s="5" t="s">
        <v>10</v>
      </c>
      <c r="D331" s="4">
        <v>14.414999999999999</v>
      </c>
    </row>
    <row r="332" spans="2:4" x14ac:dyDescent="0.3">
      <c r="B332" s="5">
        <v>3</v>
      </c>
      <c r="C332" s="5" t="s">
        <v>10</v>
      </c>
      <c r="D332" s="4">
        <v>22.917000000000002</v>
      </c>
    </row>
    <row r="333" spans="2:4" x14ac:dyDescent="0.3">
      <c r="B333" s="5">
        <v>3</v>
      </c>
      <c r="C333" s="5" t="s">
        <v>10</v>
      </c>
      <c r="D333" s="4">
        <v>17.577999999999999</v>
      </c>
    </row>
    <row r="334" spans="2:4" x14ac:dyDescent="0.3">
      <c r="B334" s="5">
        <v>3</v>
      </c>
      <c r="C334" s="5" t="s">
        <v>10</v>
      </c>
      <c r="D334" s="4">
        <v>24.661999999999999</v>
      </c>
    </row>
    <row r="335" spans="2:4" x14ac:dyDescent="0.3">
      <c r="B335" s="5">
        <v>3</v>
      </c>
      <c r="C335" s="5" t="s">
        <v>10</v>
      </c>
      <c r="D335" s="4">
        <v>22.010999999999999</v>
      </c>
    </row>
    <row r="336" spans="2:4" x14ac:dyDescent="0.3">
      <c r="B336" s="5">
        <v>3</v>
      </c>
      <c r="C336" s="5" t="s">
        <v>10</v>
      </c>
      <c r="D336" s="4">
        <v>19.373999999999999</v>
      </c>
    </row>
    <row r="337" spans="2:4" x14ac:dyDescent="0.3">
      <c r="B337" s="5">
        <v>3</v>
      </c>
      <c r="C337" s="5" t="s">
        <v>10</v>
      </c>
      <c r="D337" s="4">
        <v>19.855</v>
      </c>
    </row>
    <row r="338" spans="2:4" x14ac:dyDescent="0.3">
      <c r="B338" s="5">
        <v>3</v>
      </c>
      <c r="C338" s="5" t="s">
        <v>10</v>
      </c>
      <c r="D338" s="4">
        <v>21.751000000000001</v>
      </c>
    </row>
    <row r="339" spans="2:4" x14ac:dyDescent="0.3">
      <c r="B339" s="5">
        <v>3</v>
      </c>
      <c r="C339" s="5" t="s">
        <v>10</v>
      </c>
      <c r="D339" s="4">
        <v>20.731000000000002</v>
      </c>
    </row>
    <row r="340" spans="2:4" x14ac:dyDescent="0.3">
      <c r="B340" s="5">
        <v>3</v>
      </c>
      <c r="C340" s="5" t="s">
        <v>10</v>
      </c>
      <c r="D340" s="4">
        <v>26.273</v>
      </c>
    </row>
    <row r="341" spans="2:4" x14ac:dyDescent="0.3">
      <c r="B341" s="5">
        <v>3</v>
      </c>
      <c r="C341" s="5" t="s">
        <v>10</v>
      </c>
      <c r="D341" s="4">
        <v>14.429</v>
      </c>
    </row>
  </sheetData>
  <autoFilter ref="A1:E341" xr:uid="{A01738DA-5666-4840-B319-23C0D4DF24ED}"/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88F9-3DD2-48C0-9B86-1BF49BD77686}">
  <dimension ref="A1:M183"/>
  <sheetViews>
    <sheetView topLeftCell="B1" zoomScale="80" zoomScaleNormal="80" workbookViewId="0">
      <selection activeCell="K144" sqref="K144"/>
    </sheetView>
  </sheetViews>
  <sheetFormatPr defaultRowHeight="14.4" x14ac:dyDescent="0.3"/>
  <cols>
    <col min="1" max="1" width="10.5546875" bestFit="1" customWidth="1"/>
    <col min="3" max="3" width="17.44140625" customWidth="1"/>
    <col min="4" max="4" width="28.109375" customWidth="1"/>
    <col min="5" max="5" width="23.33203125" customWidth="1"/>
    <col min="7" max="7" width="15" bestFit="1" customWidth="1"/>
  </cols>
  <sheetData>
    <row r="1" spans="1:10" x14ac:dyDescent="0.3">
      <c r="A1" t="s">
        <v>11</v>
      </c>
      <c r="B1" t="s">
        <v>12</v>
      </c>
      <c r="C1" t="s">
        <v>13</v>
      </c>
      <c r="D1" t="s">
        <v>14</v>
      </c>
      <c r="E1" s="12" t="s">
        <v>15</v>
      </c>
      <c r="G1" t="s">
        <v>23</v>
      </c>
      <c r="H1" t="s">
        <v>21</v>
      </c>
      <c r="I1" t="s">
        <v>27</v>
      </c>
    </row>
    <row r="2" spans="1:10" s="5" customFormat="1" x14ac:dyDescent="0.3">
      <c r="A2" s="5">
        <v>1</v>
      </c>
      <c r="B2" s="5">
        <v>3</v>
      </c>
      <c r="C2" s="5" t="s">
        <v>6</v>
      </c>
      <c r="D2" s="10">
        <v>33.35</v>
      </c>
      <c r="E2" s="4">
        <v>19.071999999999999</v>
      </c>
      <c r="G2" s="5">
        <f>((E2-AVERAGE($E$41:$E$69))/AVERAGE($E$41:$E$69))*100</f>
        <v>25.300287714369873</v>
      </c>
      <c r="H2" s="5">
        <f>((D2-AVERAGE($D$41:$D$77))/AVERAGE($D$41:$D$77))*100</f>
        <v>120.55340772397179</v>
      </c>
      <c r="I2" s="5">
        <f>(AVERAGE(G2)-(AVERAGE($E$41:$E$69))/(AVERAGE($E$41:$E$69)))</f>
        <v>24.300287714369873</v>
      </c>
      <c r="J2" s="5">
        <f>(AVERAGE(H2)-(AVERAGE($E$41:$E$69))/(AVERAGE($E$41:$E$69)))</f>
        <v>119.55340772397179</v>
      </c>
    </row>
    <row r="3" spans="1:10" s="5" customFormat="1" x14ac:dyDescent="0.3">
      <c r="A3" s="5">
        <v>2</v>
      </c>
      <c r="B3" s="5">
        <v>3</v>
      </c>
      <c r="C3" s="5" t="s">
        <v>6</v>
      </c>
      <c r="D3" s="10">
        <v>26.11</v>
      </c>
      <c r="E3" s="4">
        <v>11.506</v>
      </c>
      <c r="G3" s="5">
        <f t="shared" ref="G3:G27" si="0">((E3-AVERAGE($E$41:$E$69))/AVERAGE($E$41:$E$69))*100</f>
        <v>-24.407240434063556</v>
      </c>
      <c r="H3" s="5">
        <f t="shared" ref="H3:H40" si="1">((D3-AVERAGE($D$41:$D$77))/AVERAGE($D$41:$D$77))*100</f>
        <v>72.67314769633893</v>
      </c>
      <c r="I3" s="5">
        <f t="shared" ref="I3:I27" si="2">(AVERAGE(G3)-(AVERAGE($E$41:$E$69))/(AVERAGE($E$41:$E$69)))</f>
        <v>-25.407240434063556</v>
      </c>
    </row>
    <row r="4" spans="1:10" s="5" customFormat="1" x14ac:dyDescent="0.3">
      <c r="A4" s="5">
        <v>3</v>
      </c>
      <c r="B4" s="5">
        <v>3</v>
      </c>
      <c r="C4" s="5" t="s">
        <v>6</v>
      </c>
      <c r="D4" s="10">
        <v>39.93</v>
      </c>
      <c r="E4" s="4">
        <v>10.145</v>
      </c>
      <c r="G4" s="5">
        <f t="shared" si="0"/>
        <v>-33.348814027774623</v>
      </c>
      <c r="H4" s="5">
        <f t="shared" si="1"/>
        <v>164.06889266621269</v>
      </c>
      <c r="I4" s="5">
        <f t="shared" si="2"/>
        <v>-34.348814027774623</v>
      </c>
    </row>
    <row r="5" spans="1:10" s="5" customFormat="1" x14ac:dyDescent="0.3">
      <c r="A5" s="5">
        <v>3</v>
      </c>
      <c r="B5" s="5">
        <v>3</v>
      </c>
      <c r="C5" s="5" t="s">
        <v>6</v>
      </c>
      <c r="D5" s="10">
        <v>37.11</v>
      </c>
      <c r="E5" s="4">
        <v>12.048999999999999</v>
      </c>
      <c r="G5" s="5">
        <f t="shared" si="0"/>
        <v>-20.839808794544744</v>
      </c>
      <c r="H5" s="5">
        <f t="shared" si="1"/>
        <v>145.41939911953801</v>
      </c>
      <c r="I5" s="5">
        <f t="shared" si="2"/>
        <v>-21.839808794544744</v>
      </c>
    </row>
    <row r="6" spans="1:10" s="5" customFormat="1" x14ac:dyDescent="0.3">
      <c r="A6" s="5">
        <v>3</v>
      </c>
      <c r="B6" s="5">
        <v>3</v>
      </c>
      <c r="C6" s="5" t="s">
        <v>6</v>
      </c>
      <c r="D6" s="10">
        <v>38.75</v>
      </c>
      <c r="E6" s="4">
        <v>19.574000000000002</v>
      </c>
      <c r="G6" s="5">
        <f t="shared" si="0"/>
        <v>28.598355270610121</v>
      </c>
      <c r="H6" s="5">
        <f t="shared" si="1"/>
        <v>156.26520387717861</v>
      </c>
      <c r="I6" s="5">
        <f t="shared" si="2"/>
        <v>27.598355270610121</v>
      </c>
    </row>
    <row r="7" spans="1:10" s="5" customFormat="1" x14ac:dyDescent="0.3">
      <c r="A7" s="5">
        <v>3</v>
      </c>
      <c r="B7" s="5">
        <v>3</v>
      </c>
      <c r="C7" s="5" t="s">
        <v>6</v>
      </c>
      <c r="D7" s="10">
        <v>47.55</v>
      </c>
      <c r="E7" s="4">
        <v>32.265999999999998</v>
      </c>
      <c r="G7" s="5">
        <f t="shared" si="0"/>
        <v>111.98296368455634</v>
      </c>
      <c r="H7" s="5">
        <f t="shared" si="1"/>
        <v>214.46220501573782</v>
      </c>
      <c r="I7" s="5">
        <f t="shared" si="2"/>
        <v>110.98296368455634</v>
      </c>
    </row>
    <row r="8" spans="1:10" s="5" customFormat="1" x14ac:dyDescent="0.3">
      <c r="A8" s="5">
        <v>3</v>
      </c>
      <c r="B8" s="5">
        <v>3</v>
      </c>
      <c r="C8" s="5" t="s">
        <v>6</v>
      </c>
      <c r="D8" s="10">
        <v>36</v>
      </c>
      <c r="E8" s="4">
        <v>18.484999999999999</v>
      </c>
      <c r="G8" s="5">
        <f t="shared" si="0"/>
        <v>21.443782424503311</v>
      </c>
      <c r="H8" s="5">
        <f t="shared" si="1"/>
        <v>138.07864102137884</v>
      </c>
      <c r="I8" s="5">
        <f t="shared" si="2"/>
        <v>20.443782424503311</v>
      </c>
    </row>
    <row r="9" spans="1:10" s="5" customFormat="1" x14ac:dyDescent="0.3">
      <c r="A9" s="5">
        <v>3</v>
      </c>
      <c r="B9" s="5">
        <v>3</v>
      </c>
      <c r="C9" s="5" t="s">
        <v>6</v>
      </c>
      <c r="D9" s="10">
        <v>36</v>
      </c>
      <c r="E9" s="4">
        <v>17.646000000000001</v>
      </c>
      <c r="G9" s="5">
        <f t="shared" si="0"/>
        <v>15.931673500826918</v>
      </c>
      <c r="H9" s="5">
        <f t="shared" si="1"/>
        <v>138.07864102137884</v>
      </c>
      <c r="I9" s="5">
        <f t="shared" si="2"/>
        <v>14.931673500826918</v>
      </c>
    </row>
    <row r="10" spans="1:10" s="5" customFormat="1" x14ac:dyDescent="0.3">
      <c r="A10" s="5">
        <v>1</v>
      </c>
      <c r="B10" s="5">
        <v>3</v>
      </c>
      <c r="C10" s="5" t="s">
        <v>6</v>
      </c>
      <c r="D10" s="10">
        <v>30.51</v>
      </c>
      <c r="E10" s="4">
        <v>19.8</v>
      </c>
      <c r="G10" s="5">
        <f t="shared" si="0"/>
        <v>30.083142656487187</v>
      </c>
      <c r="H10" s="5">
        <f t="shared" si="1"/>
        <v>101.77164826561858</v>
      </c>
      <c r="I10" s="5">
        <f t="shared" si="2"/>
        <v>29.083142656487187</v>
      </c>
    </row>
    <row r="11" spans="1:10" s="5" customFormat="1" x14ac:dyDescent="0.3">
      <c r="A11" s="5">
        <v>1</v>
      </c>
      <c r="B11" s="5">
        <v>3</v>
      </c>
      <c r="C11" s="5" t="s">
        <v>6</v>
      </c>
      <c r="D11" s="10">
        <v>31.52</v>
      </c>
      <c r="E11" s="4">
        <v>9.6890000000000001</v>
      </c>
      <c r="G11" s="5">
        <f t="shared" si="0"/>
        <v>-36.344668222287659</v>
      </c>
      <c r="H11" s="5">
        <f t="shared" si="1"/>
        <v>108.45107680538501</v>
      </c>
      <c r="I11" s="5">
        <f t="shared" si="2"/>
        <v>-37.344668222287659</v>
      </c>
    </row>
    <row r="12" spans="1:10" s="5" customFormat="1" x14ac:dyDescent="0.3">
      <c r="A12" s="5">
        <v>1</v>
      </c>
      <c r="B12" s="5">
        <v>3</v>
      </c>
      <c r="C12" s="5" t="s">
        <v>6</v>
      </c>
      <c r="D12" s="10">
        <v>29.06</v>
      </c>
      <c r="E12" s="4">
        <v>10.404999999999999</v>
      </c>
      <c r="G12" s="5">
        <f t="shared" si="0"/>
        <v>-31.640651548447018</v>
      </c>
      <c r="H12" s="5">
        <f t="shared" si="1"/>
        <v>92.182369668924139</v>
      </c>
      <c r="I12" s="5">
        <f t="shared" si="2"/>
        <v>-32.640651548447018</v>
      </c>
    </row>
    <row r="13" spans="1:10" s="5" customFormat="1" x14ac:dyDescent="0.3">
      <c r="A13" s="5">
        <v>1</v>
      </c>
      <c r="B13" s="5">
        <v>3</v>
      </c>
      <c r="C13" s="5" t="s">
        <v>6</v>
      </c>
      <c r="D13" s="10">
        <v>28.62</v>
      </c>
      <c r="E13" s="4">
        <v>20.494</v>
      </c>
      <c r="G13" s="5">
        <f t="shared" si="0"/>
        <v>34.642622505153959</v>
      </c>
      <c r="H13" s="5">
        <f t="shared" si="1"/>
        <v>89.272519611996188</v>
      </c>
      <c r="I13" s="5">
        <f t="shared" si="2"/>
        <v>33.642622505153959</v>
      </c>
    </row>
    <row r="14" spans="1:10" s="5" customFormat="1" x14ac:dyDescent="0.3">
      <c r="A14" s="5">
        <v>1</v>
      </c>
      <c r="B14" s="5">
        <v>3</v>
      </c>
      <c r="C14" s="5" t="s">
        <v>6</v>
      </c>
      <c r="D14" s="10">
        <v>28.42</v>
      </c>
      <c r="E14" s="4">
        <v>20.494</v>
      </c>
      <c r="G14" s="5">
        <f t="shared" si="0"/>
        <v>34.642622505153959</v>
      </c>
      <c r="H14" s="5">
        <f t="shared" si="1"/>
        <v>87.949860495210757</v>
      </c>
      <c r="I14" s="5">
        <f t="shared" si="2"/>
        <v>33.642622505153959</v>
      </c>
    </row>
    <row r="15" spans="1:10" s="5" customFormat="1" x14ac:dyDescent="0.3">
      <c r="A15" s="5">
        <v>1</v>
      </c>
      <c r="B15" s="5">
        <v>3</v>
      </c>
      <c r="C15" s="5" t="s">
        <v>6</v>
      </c>
      <c r="D15" s="10">
        <v>30.34</v>
      </c>
      <c r="E15" s="4">
        <v>14.44</v>
      </c>
      <c r="G15" s="5">
        <f t="shared" si="0"/>
        <v>-5.1312838404204593</v>
      </c>
      <c r="H15" s="5">
        <f t="shared" si="1"/>
        <v>100.64738801635093</v>
      </c>
      <c r="I15" s="5">
        <f t="shared" si="2"/>
        <v>-6.1312838404204593</v>
      </c>
    </row>
    <row r="16" spans="1:10" s="5" customFormat="1" x14ac:dyDescent="0.3">
      <c r="A16" s="5">
        <v>1</v>
      </c>
      <c r="B16" s="5">
        <v>3</v>
      </c>
      <c r="C16" s="5" t="s">
        <v>6</v>
      </c>
      <c r="D16" s="10">
        <v>37.770000000000003</v>
      </c>
      <c r="E16" s="4">
        <v>14.44</v>
      </c>
      <c r="G16" s="5">
        <f t="shared" si="0"/>
        <v>-5.1312838404204593</v>
      </c>
      <c r="H16" s="5">
        <f t="shared" si="1"/>
        <v>149.78417420492997</v>
      </c>
      <c r="I16" s="5">
        <f t="shared" si="2"/>
        <v>-6.1312838404204593</v>
      </c>
    </row>
    <row r="17" spans="1:9" s="5" customFormat="1" x14ac:dyDescent="0.3">
      <c r="A17" s="5">
        <v>1</v>
      </c>
      <c r="B17" s="5">
        <v>3</v>
      </c>
      <c r="C17" s="5" t="s">
        <v>6</v>
      </c>
      <c r="D17" s="10">
        <v>25.68</v>
      </c>
      <c r="E17" s="4">
        <v>14.981999999999999</v>
      </c>
      <c r="G17" s="5">
        <f t="shared" si="0"/>
        <v>-1.5704220565913671</v>
      </c>
      <c r="H17" s="5">
        <f t="shared" si="1"/>
        <v>69.829430595250244</v>
      </c>
      <c r="I17" s="5">
        <f t="shared" si="2"/>
        <v>-2.5704220565913669</v>
      </c>
    </row>
    <row r="18" spans="1:9" s="5" customFormat="1" x14ac:dyDescent="0.3">
      <c r="A18" s="5">
        <v>1</v>
      </c>
      <c r="B18" s="5">
        <v>3</v>
      </c>
      <c r="C18" s="5" t="s">
        <v>6</v>
      </c>
      <c r="D18" s="10">
        <v>16.47</v>
      </c>
      <c r="E18" s="4">
        <v>16.452000000000002</v>
      </c>
      <c r="G18" s="5">
        <f t="shared" si="0"/>
        <v>8.0872658072993637</v>
      </c>
      <c r="H18" s="5">
        <f t="shared" si="1"/>
        <v>8.9209782672808124</v>
      </c>
      <c r="I18" s="5">
        <f t="shared" si="2"/>
        <v>7.0872658072993637</v>
      </c>
    </row>
    <row r="19" spans="1:9" s="5" customFormat="1" x14ac:dyDescent="0.3">
      <c r="A19" s="5">
        <v>1</v>
      </c>
      <c r="B19" s="5">
        <v>3</v>
      </c>
      <c r="C19" s="5" t="s">
        <v>6</v>
      </c>
      <c r="D19" s="10">
        <v>28.88</v>
      </c>
      <c r="E19" s="4">
        <v>11.917999999999999</v>
      </c>
      <c r="G19" s="5">
        <f t="shared" si="0"/>
        <v>-21.700459889898273</v>
      </c>
      <c r="H19" s="5">
        <f t="shared" si="1"/>
        <v>90.991976463817238</v>
      </c>
      <c r="I19" s="5">
        <f t="shared" si="2"/>
        <v>-22.700459889898273</v>
      </c>
    </row>
    <row r="20" spans="1:9" s="5" customFormat="1" x14ac:dyDescent="0.3">
      <c r="A20" s="5">
        <v>1</v>
      </c>
      <c r="B20" s="5">
        <v>3</v>
      </c>
      <c r="C20" s="5" t="s">
        <v>6</v>
      </c>
      <c r="D20" s="10">
        <v>31.65</v>
      </c>
      <c r="E20" s="4">
        <v>33.392000000000003</v>
      </c>
      <c r="G20" s="5">
        <f t="shared" si="0"/>
        <v>119.38062119118284</v>
      </c>
      <c r="H20" s="5">
        <f t="shared" si="1"/>
        <v>109.31080523129555</v>
      </c>
      <c r="I20" s="5">
        <f t="shared" si="2"/>
        <v>118.38062119118284</v>
      </c>
    </row>
    <row r="21" spans="1:9" s="5" customFormat="1" x14ac:dyDescent="0.3">
      <c r="A21" s="5">
        <v>1</v>
      </c>
      <c r="B21" s="5">
        <v>3</v>
      </c>
      <c r="C21" s="5" t="s">
        <v>6</v>
      </c>
      <c r="D21" s="10">
        <v>24.02</v>
      </c>
      <c r="E21" s="4">
        <v>35.581000000000003</v>
      </c>
      <c r="G21" s="5">
        <f t="shared" si="0"/>
        <v>133.7620352959834</v>
      </c>
      <c r="H21" s="5">
        <f t="shared" si="1"/>
        <v>58.851359925931099</v>
      </c>
      <c r="I21" s="5">
        <f t="shared" si="2"/>
        <v>132.7620352959834</v>
      </c>
    </row>
    <row r="22" spans="1:9" s="5" customFormat="1" x14ac:dyDescent="0.3">
      <c r="A22" s="5">
        <v>1</v>
      </c>
      <c r="B22" s="5">
        <v>3</v>
      </c>
      <c r="C22" s="5" t="s">
        <v>6</v>
      </c>
      <c r="D22" s="10">
        <v>24.56</v>
      </c>
      <c r="E22" s="4">
        <v>25.292999999999999</v>
      </c>
      <c r="G22" s="5">
        <f t="shared" si="0"/>
        <v>66.171359960127802</v>
      </c>
      <c r="H22" s="5">
        <f t="shared" si="1"/>
        <v>62.422539541251773</v>
      </c>
      <c r="I22" s="5">
        <f t="shared" si="2"/>
        <v>65.171359960127802</v>
      </c>
    </row>
    <row r="23" spans="1:9" s="5" customFormat="1" x14ac:dyDescent="0.3">
      <c r="A23" s="5">
        <v>1</v>
      </c>
      <c r="B23" s="5">
        <v>3</v>
      </c>
      <c r="C23" s="5" t="s">
        <v>6</v>
      </c>
      <c r="D23" s="10">
        <v>33.28</v>
      </c>
      <c r="E23" s="4">
        <v>27.914000000000001</v>
      </c>
      <c r="G23" s="5">
        <f t="shared" si="0"/>
        <v>83.390951722888047</v>
      </c>
      <c r="H23" s="5">
        <f t="shared" si="1"/>
        <v>120.0904770330969</v>
      </c>
      <c r="I23" s="5">
        <f t="shared" si="2"/>
        <v>82.390951722888047</v>
      </c>
    </row>
    <row r="24" spans="1:9" s="5" customFormat="1" x14ac:dyDescent="0.3">
      <c r="A24" s="5">
        <v>1</v>
      </c>
      <c r="B24" s="5">
        <v>3</v>
      </c>
      <c r="C24" s="5" t="s">
        <v>6</v>
      </c>
      <c r="D24" s="10">
        <v>29.83</v>
      </c>
      <c r="E24" s="4">
        <v>23.204000000000001</v>
      </c>
      <c r="G24" s="5">
        <f t="shared" si="0"/>
        <v>52.446931424299436</v>
      </c>
      <c r="H24" s="5">
        <f t="shared" si="1"/>
        <v>97.274607268548067</v>
      </c>
      <c r="I24" s="5">
        <f t="shared" si="2"/>
        <v>51.446931424299436</v>
      </c>
    </row>
    <row r="25" spans="1:9" s="5" customFormat="1" x14ac:dyDescent="0.3">
      <c r="A25" s="5">
        <v>1</v>
      </c>
      <c r="B25" s="5">
        <v>3</v>
      </c>
      <c r="C25" s="5" t="s">
        <v>6</v>
      </c>
      <c r="D25" s="10">
        <v>25.96</v>
      </c>
      <c r="E25" s="4">
        <v>11.449</v>
      </c>
      <c r="G25" s="5">
        <f t="shared" si="0"/>
        <v>-24.781722208377687</v>
      </c>
      <c r="H25" s="5">
        <f t="shared" si="1"/>
        <v>71.681153358749867</v>
      </c>
      <c r="I25" s="5">
        <f t="shared" si="2"/>
        <v>-25.781722208377687</v>
      </c>
    </row>
    <row r="26" spans="1:9" s="5" customFormat="1" x14ac:dyDescent="0.3">
      <c r="A26" s="5">
        <v>1</v>
      </c>
      <c r="B26" s="5">
        <v>3</v>
      </c>
      <c r="C26" s="5" t="s">
        <v>6</v>
      </c>
      <c r="D26" s="10">
        <v>29.81</v>
      </c>
      <c r="E26" s="4">
        <v>15.288</v>
      </c>
      <c r="G26" s="5">
        <f t="shared" si="0"/>
        <v>0.43995378446344102</v>
      </c>
      <c r="H26" s="5">
        <f t="shared" si="1"/>
        <v>97.142341356869522</v>
      </c>
      <c r="I26" s="5">
        <f t="shared" si="2"/>
        <v>-0.56004621553655898</v>
      </c>
    </row>
    <row r="27" spans="1:9" s="5" customFormat="1" x14ac:dyDescent="0.3">
      <c r="A27" s="5">
        <v>1</v>
      </c>
      <c r="B27" s="5">
        <v>3</v>
      </c>
      <c r="C27" s="5" t="s">
        <v>6</v>
      </c>
      <c r="D27" s="10">
        <v>33.5</v>
      </c>
      <c r="E27" s="4">
        <v>24.582999999999998</v>
      </c>
      <c r="G27" s="5">
        <f t="shared" si="0"/>
        <v>61.506762420425467</v>
      </c>
      <c r="H27" s="5">
        <f t="shared" si="1"/>
        <v>121.54540206156086</v>
      </c>
      <c r="I27" s="5">
        <f t="shared" si="2"/>
        <v>60.506762420425467</v>
      </c>
    </row>
    <row r="28" spans="1:9" s="5" customFormat="1" x14ac:dyDescent="0.3">
      <c r="A28" s="5">
        <v>1</v>
      </c>
      <c r="B28" s="5">
        <v>3</v>
      </c>
      <c r="C28" s="5" t="s">
        <v>6</v>
      </c>
      <c r="D28" s="10">
        <v>31.72</v>
      </c>
      <c r="E28" s="13"/>
      <c r="H28" s="5">
        <f t="shared" si="1"/>
        <v>109.77373592217046</v>
      </c>
    </row>
    <row r="29" spans="1:9" s="5" customFormat="1" x14ac:dyDescent="0.3">
      <c r="A29" s="5">
        <v>1</v>
      </c>
      <c r="B29" s="5">
        <v>3</v>
      </c>
      <c r="C29" s="5" t="s">
        <v>6</v>
      </c>
      <c r="D29" s="10">
        <v>35.31</v>
      </c>
      <c r="E29" s="13"/>
      <c r="H29" s="5">
        <f t="shared" si="1"/>
        <v>133.51546706846909</v>
      </c>
    </row>
    <row r="30" spans="1:9" s="5" customFormat="1" x14ac:dyDescent="0.3">
      <c r="A30" s="5">
        <v>1</v>
      </c>
      <c r="B30" s="5">
        <v>3</v>
      </c>
      <c r="C30" s="5" t="s">
        <v>6</v>
      </c>
      <c r="D30" s="10">
        <v>33.08</v>
      </c>
      <c r="E30" s="13"/>
      <c r="H30" s="5">
        <f t="shared" si="1"/>
        <v>118.76781791631143</v>
      </c>
    </row>
    <row r="31" spans="1:9" s="5" customFormat="1" x14ac:dyDescent="0.3">
      <c r="A31" s="5">
        <v>1</v>
      </c>
      <c r="B31" s="5">
        <v>3</v>
      </c>
      <c r="C31" s="5" t="s">
        <v>6</v>
      </c>
      <c r="D31" s="10">
        <v>32.92</v>
      </c>
      <c r="E31" s="13"/>
      <c r="H31" s="5">
        <f t="shared" si="1"/>
        <v>117.7096906228831</v>
      </c>
    </row>
    <row r="32" spans="1:9" s="5" customFormat="1" x14ac:dyDescent="0.3">
      <c r="A32" s="5">
        <v>1</v>
      </c>
      <c r="B32" s="5">
        <v>3</v>
      </c>
      <c r="C32" s="5" t="s">
        <v>6</v>
      </c>
      <c r="D32" s="10">
        <v>28.31</v>
      </c>
      <c r="E32" s="13"/>
      <c r="H32" s="5">
        <f t="shared" si="1"/>
        <v>87.222397980978741</v>
      </c>
    </row>
    <row r="33" spans="1:8" s="5" customFormat="1" x14ac:dyDescent="0.3">
      <c r="A33" s="5">
        <v>1</v>
      </c>
      <c r="B33" s="5">
        <v>3</v>
      </c>
      <c r="C33" s="5" t="s">
        <v>6</v>
      </c>
      <c r="D33" s="10">
        <v>29.18</v>
      </c>
      <c r="E33" s="13"/>
      <c r="H33" s="5">
        <f t="shared" si="1"/>
        <v>92.975965138995392</v>
      </c>
    </row>
    <row r="34" spans="1:8" s="5" customFormat="1" x14ac:dyDescent="0.3">
      <c r="A34" s="5">
        <v>1</v>
      </c>
      <c r="B34" s="5">
        <v>3</v>
      </c>
      <c r="C34" s="5" t="s">
        <v>6</v>
      </c>
      <c r="D34" s="10">
        <v>20.63</v>
      </c>
      <c r="E34" s="13"/>
      <c r="H34" s="5">
        <f t="shared" si="1"/>
        <v>36.432287896417918</v>
      </c>
    </row>
    <row r="35" spans="1:8" s="5" customFormat="1" x14ac:dyDescent="0.3">
      <c r="A35" s="5">
        <v>1</v>
      </c>
      <c r="B35" s="5">
        <v>3</v>
      </c>
      <c r="C35" s="5" t="s">
        <v>6</v>
      </c>
      <c r="D35" s="10">
        <v>35.19</v>
      </c>
      <c r="E35" s="13"/>
      <c r="H35" s="5">
        <f t="shared" si="1"/>
        <v>132.7218715983978</v>
      </c>
    </row>
    <row r="36" spans="1:8" s="5" customFormat="1" x14ac:dyDescent="0.3">
      <c r="A36" s="5">
        <v>1</v>
      </c>
      <c r="B36" s="5">
        <v>3</v>
      </c>
      <c r="C36" s="5" t="s">
        <v>6</v>
      </c>
      <c r="D36" s="10">
        <v>25.55</v>
      </c>
      <c r="E36" s="13"/>
      <c r="H36" s="5">
        <f t="shared" si="1"/>
        <v>68.969702169339712</v>
      </c>
    </row>
    <row r="37" spans="1:8" s="5" customFormat="1" x14ac:dyDescent="0.3">
      <c r="A37" s="5">
        <v>1</v>
      </c>
      <c r="B37" s="5">
        <v>3</v>
      </c>
      <c r="C37" s="5" t="s">
        <v>6</v>
      </c>
      <c r="D37" s="10">
        <v>28.96</v>
      </c>
      <c r="E37" s="13"/>
      <c r="H37" s="5">
        <f t="shared" si="1"/>
        <v>91.52104011053143</v>
      </c>
    </row>
    <row r="38" spans="1:8" s="5" customFormat="1" x14ac:dyDescent="0.3">
      <c r="A38" s="5">
        <v>1</v>
      </c>
      <c r="B38" s="5">
        <v>3</v>
      </c>
      <c r="C38" s="5" t="s">
        <v>6</v>
      </c>
      <c r="D38" s="10">
        <v>35.76</v>
      </c>
      <c r="E38" s="13"/>
      <c r="H38" s="5">
        <f t="shared" si="1"/>
        <v>136.49145008123631</v>
      </c>
    </row>
    <row r="39" spans="1:8" s="5" customFormat="1" x14ac:dyDescent="0.3">
      <c r="A39" s="5">
        <v>1</v>
      </c>
      <c r="B39" s="5">
        <v>3</v>
      </c>
      <c r="C39" s="5" t="s">
        <v>6</v>
      </c>
      <c r="D39" s="10">
        <v>35.83</v>
      </c>
      <c r="E39" s="13"/>
      <c r="H39" s="5">
        <f t="shared" si="1"/>
        <v>136.95438077211119</v>
      </c>
    </row>
    <row r="40" spans="1:8" s="5" customFormat="1" x14ac:dyDescent="0.3">
      <c r="A40" s="5">
        <v>1</v>
      </c>
      <c r="B40" s="5">
        <v>3</v>
      </c>
      <c r="C40" s="5" t="s">
        <v>6</v>
      </c>
      <c r="D40" s="10">
        <v>32.630000000000003</v>
      </c>
      <c r="E40" s="13"/>
      <c r="H40" s="5">
        <f t="shared" si="1"/>
        <v>115.79183490354423</v>
      </c>
    </row>
    <row r="41" spans="1:8" s="5" customFormat="1" x14ac:dyDescent="0.3">
      <c r="B41" s="5">
        <v>3</v>
      </c>
      <c r="C41" s="5" t="s">
        <v>8</v>
      </c>
      <c r="D41" s="10">
        <v>17.323</v>
      </c>
      <c r="E41" s="4">
        <v>15.32</v>
      </c>
    </row>
    <row r="42" spans="1:8" s="5" customFormat="1" x14ac:dyDescent="0.3">
      <c r="B42" s="5">
        <v>3</v>
      </c>
      <c r="C42" s="5" t="s">
        <v>8</v>
      </c>
      <c r="D42" s="10">
        <v>17.465</v>
      </c>
      <c r="E42" s="4">
        <v>8.4079999999999995</v>
      </c>
    </row>
    <row r="43" spans="1:8" s="5" customFormat="1" x14ac:dyDescent="0.3">
      <c r="B43" s="5">
        <v>3</v>
      </c>
      <c r="C43" s="5" t="s">
        <v>8</v>
      </c>
      <c r="D43" s="10">
        <v>17.167000000000002</v>
      </c>
      <c r="E43" s="4">
        <v>15.923999999999999</v>
      </c>
    </row>
    <row r="44" spans="1:8" s="5" customFormat="1" x14ac:dyDescent="0.3">
      <c r="B44" s="5">
        <v>3</v>
      </c>
      <c r="C44" s="5" t="s">
        <v>8</v>
      </c>
      <c r="D44" s="10">
        <v>13.113</v>
      </c>
      <c r="E44" s="4">
        <v>13.332000000000001</v>
      </c>
    </row>
    <row r="45" spans="1:8" s="5" customFormat="1" x14ac:dyDescent="0.3">
      <c r="B45" s="5">
        <v>3</v>
      </c>
      <c r="C45" s="5" t="s">
        <v>8</v>
      </c>
      <c r="D45" s="10">
        <v>18.309000000000001</v>
      </c>
      <c r="E45" s="4">
        <v>9.1199999999999992</v>
      </c>
    </row>
    <row r="46" spans="1:8" s="5" customFormat="1" x14ac:dyDescent="0.3">
      <c r="B46" s="5">
        <v>3</v>
      </c>
      <c r="C46" s="5" t="s">
        <v>8</v>
      </c>
      <c r="D46" s="10">
        <v>19.484999999999999</v>
      </c>
      <c r="E46" s="4">
        <v>15.513999999999999</v>
      </c>
    </row>
    <row r="47" spans="1:8" s="5" customFormat="1" x14ac:dyDescent="0.3">
      <c r="B47" s="5">
        <v>3</v>
      </c>
      <c r="C47" s="5" t="s">
        <v>8</v>
      </c>
      <c r="D47" s="10">
        <v>15.266</v>
      </c>
      <c r="E47" s="4">
        <v>16.684000000000001</v>
      </c>
    </row>
    <row r="48" spans="1:8" s="5" customFormat="1" x14ac:dyDescent="0.3">
      <c r="B48" s="5">
        <v>3</v>
      </c>
      <c r="C48" s="5" t="s">
        <v>8</v>
      </c>
      <c r="D48" s="10">
        <v>15.279</v>
      </c>
      <c r="E48" s="4">
        <v>12.279</v>
      </c>
    </row>
    <row r="49" spans="2:5" s="5" customFormat="1" x14ac:dyDescent="0.3">
      <c r="B49" s="5">
        <v>3</v>
      </c>
      <c r="C49" s="5" t="s">
        <v>8</v>
      </c>
      <c r="D49" s="10">
        <v>12.125</v>
      </c>
      <c r="E49" s="4">
        <v>29.864000000000001</v>
      </c>
    </row>
    <row r="50" spans="2:5" s="5" customFormat="1" x14ac:dyDescent="0.3">
      <c r="B50" s="5">
        <v>3</v>
      </c>
      <c r="C50" s="5" t="s">
        <v>8</v>
      </c>
      <c r="D50" s="10">
        <v>14.968999999999999</v>
      </c>
      <c r="E50" s="4">
        <v>10.195</v>
      </c>
    </row>
    <row r="51" spans="2:5" s="5" customFormat="1" x14ac:dyDescent="0.3">
      <c r="B51" s="5">
        <v>3</v>
      </c>
      <c r="C51" s="5" t="s">
        <v>8</v>
      </c>
      <c r="D51" s="10">
        <v>12.058999999999999</v>
      </c>
      <c r="E51" s="4">
        <v>13.483000000000001</v>
      </c>
    </row>
    <row r="52" spans="2:5" s="5" customFormat="1" x14ac:dyDescent="0.3">
      <c r="B52" s="5">
        <v>3</v>
      </c>
      <c r="C52" s="5" t="s">
        <v>8</v>
      </c>
      <c r="D52" s="10">
        <v>10.978</v>
      </c>
      <c r="E52" s="4">
        <v>13.401999999999999</v>
      </c>
    </row>
    <row r="53" spans="2:5" s="5" customFormat="1" x14ac:dyDescent="0.3">
      <c r="B53" s="5">
        <v>3</v>
      </c>
      <c r="C53" s="5" t="s">
        <v>8</v>
      </c>
      <c r="D53" s="10">
        <v>15.598000000000001</v>
      </c>
      <c r="E53" s="4">
        <v>13.401999999999999</v>
      </c>
    </row>
    <row r="54" spans="2:5" s="5" customFormat="1" x14ac:dyDescent="0.3">
      <c r="B54" s="5">
        <v>3</v>
      </c>
      <c r="C54" s="5" t="s">
        <v>8</v>
      </c>
      <c r="D54" s="10">
        <v>16.099</v>
      </c>
      <c r="E54" s="4">
        <v>14.760999999999999</v>
      </c>
    </row>
    <row r="55" spans="2:5" s="5" customFormat="1" x14ac:dyDescent="0.3">
      <c r="B55" s="5">
        <v>3</v>
      </c>
      <c r="C55" s="5" t="s">
        <v>8</v>
      </c>
      <c r="D55" s="10">
        <v>12.452999999999999</v>
      </c>
      <c r="E55" s="4">
        <v>16.170000000000002</v>
      </c>
    </row>
    <row r="56" spans="2:5" s="5" customFormat="1" x14ac:dyDescent="0.3">
      <c r="B56" s="5">
        <v>3</v>
      </c>
      <c r="C56" s="5" t="s">
        <v>8</v>
      </c>
      <c r="D56" s="10">
        <v>17.600000000000001</v>
      </c>
      <c r="E56" s="4">
        <v>15.057</v>
      </c>
    </row>
    <row r="57" spans="2:5" s="5" customFormat="1" x14ac:dyDescent="0.3">
      <c r="B57" s="5">
        <v>3</v>
      </c>
      <c r="C57" s="5" t="s">
        <v>8</v>
      </c>
      <c r="D57" s="10">
        <v>13.679</v>
      </c>
      <c r="E57" s="4">
        <v>13.569000000000001</v>
      </c>
    </row>
    <row r="58" spans="2:5" s="5" customFormat="1" x14ac:dyDescent="0.3">
      <c r="B58" s="5">
        <v>3</v>
      </c>
      <c r="C58" s="5" t="s">
        <v>8</v>
      </c>
      <c r="D58" s="10">
        <v>12.916</v>
      </c>
      <c r="E58" s="4">
        <v>11.29</v>
      </c>
    </row>
    <row r="59" spans="2:5" s="5" customFormat="1" x14ac:dyDescent="0.3">
      <c r="B59" s="5">
        <v>3</v>
      </c>
      <c r="C59" s="5" t="s">
        <v>8</v>
      </c>
      <c r="D59" s="10">
        <v>13.957000000000001</v>
      </c>
      <c r="E59" s="4">
        <v>11.593999999999999</v>
      </c>
    </row>
    <row r="60" spans="2:5" s="5" customFormat="1" x14ac:dyDescent="0.3">
      <c r="B60" s="5">
        <v>3</v>
      </c>
      <c r="C60" s="5" t="s">
        <v>8</v>
      </c>
      <c r="D60" s="10">
        <v>10.472</v>
      </c>
      <c r="E60" s="4">
        <v>16.213999999999999</v>
      </c>
    </row>
    <row r="61" spans="2:5" s="5" customFormat="1" x14ac:dyDescent="0.3">
      <c r="B61" s="5">
        <v>3</v>
      </c>
      <c r="C61" s="5" t="s">
        <v>8</v>
      </c>
      <c r="D61" s="10">
        <v>11.747</v>
      </c>
      <c r="E61" s="4">
        <v>14.161</v>
      </c>
    </row>
    <row r="62" spans="2:5" s="5" customFormat="1" x14ac:dyDescent="0.3">
      <c r="B62" s="5">
        <v>3</v>
      </c>
      <c r="C62" s="5" t="s">
        <v>8</v>
      </c>
      <c r="D62" s="10">
        <v>17.821000000000002</v>
      </c>
      <c r="E62" s="4">
        <v>12.244999999999999</v>
      </c>
    </row>
    <row r="63" spans="2:5" s="5" customFormat="1" x14ac:dyDescent="0.3">
      <c r="B63" s="5">
        <v>3</v>
      </c>
      <c r="C63" s="5" t="s">
        <v>8</v>
      </c>
      <c r="D63" s="10">
        <v>16.119</v>
      </c>
      <c r="E63" s="4">
        <v>10.237</v>
      </c>
    </row>
    <row r="64" spans="2:5" s="5" customFormat="1" x14ac:dyDescent="0.3">
      <c r="B64" s="5">
        <v>3</v>
      </c>
      <c r="C64" s="5" t="s">
        <v>8</v>
      </c>
      <c r="D64" s="10">
        <v>15.122999999999999</v>
      </c>
      <c r="E64" s="4">
        <v>38.091000000000001</v>
      </c>
    </row>
    <row r="65" spans="2:13" s="5" customFormat="1" x14ac:dyDescent="0.3">
      <c r="B65" s="5">
        <v>3</v>
      </c>
      <c r="C65" s="5" t="s">
        <v>8</v>
      </c>
      <c r="D65" s="10">
        <v>15.073</v>
      </c>
      <c r="E65" s="4">
        <v>13.321999999999999</v>
      </c>
    </row>
    <row r="66" spans="2:13" s="5" customFormat="1" x14ac:dyDescent="0.3">
      <c r="B66" s="5">
        <v>3</v>
      </c>
      <c r="C66" s="5" t="s">
        <v>8</v>
      </c>
      <c r="D66" s="10">
        <v>14.416</v>
      </c>
      <c r="E66" s="4">
        <v>27.344999999999999</v>
      </c>
    </row>
    <row r="67" spans="2:13" s="5" customFormat="1" x14ac:dyDescent="0.3">
      <c r="B67" s="5">
        <v>3</v>
      </c>
      <c r="C67" s="5" t="s">
        <v>8</v>
      </c>
      <c r="D67" s="10">
        <v>20.38</v>
      </c>
      <c r="E67" s="4">
        <v>7.6260000000000003</v>
      </c>
    </row>
    <row r="68" spans="2:13" s="5" customFormat="1" x14ac:dyDescent="0.3">
      <c r="B68" s="5">
        <v>3</v>
      </c>
      <c r="C68" s="5" t="s">
        <v>8</v>
      </c>
      <c r="D68" s="10">
        <v>15.834</v>
      </c>
      <c r="E68" s="4">
        <v>8.1219999999999999</v>
      </c>
    </row>
    <row r="69" spans="2:13" s="5" customFormat="1" x14ac:dyDescent="0.3">
      <c r="B69" s="5">
        <v>3</v>
      </c>
      <c r="C69" s="5" t="s">
        <v>8</v>
      </c>
      <c r="D69" s="10">
        <v>18.670999999999999</v>
      </c>
      <c r="E69" s="4">
        <v>24.678999999999998</v>
      </c>
    </row>
    <row r="70" spans="2:13" s="5" customFormat="1" x14ac:dyDescent="0.3">
      <c r="B70" s="5">
        <v>3</v>
      </c>
      <c r="C70" s="5" t="s">
        <v>8</v>
      </c>
      <c r="D70" s="10">
        <v>12.673999999999999</v>
      </c>
      <c r="E70" s="13"/>
    </row>
    <row r="71" spans="2:13" s="5" customFormat="1" x14ac:dyDescent="0.3">
      <c r="B71" s="5">
        <v>3</v>
      </c>
      <c r="C71" s="5" t="s">
        <v>8</v>
      </c>
      <c r="D71" s="10">
        <v>10.545999999999999</v>
      </c>
      <c r="E71" s="13"/>
    </row>
    <row r="72" spans="2:13" s="5" customFormat="1" x14ac:dyDescent="0.3">
      <c r="B72" s="5">
        <v>3</v>
      </c>
      <c r="C72" s="5" t="s">
        <v>8</v>
      </c>
      <c r="D72" s="10">
        <v>17.600000000000001</v>
      </c>
      <c r="E72" s="13"/>
    </row>
    <row r="73" spans="2:13" s="5" customFormat="1" x14ac:dyDescent="0.3">
      <c r="B73" s="5">
        <v>3</v>
      </c>
      <c r="C73" s="5" t="s">
        <v>8</v>
      </c>
      <c r="D73" s="10">
        <v>14.723000000000001</v>
      </c>
      <c r="E73" s="13"/>
    </row>
    <row r="74" spans="2:13" s="5" customFormat="1" x14ac:dyDescent="0.3">
      <c r="B74" s="5">
        <v>3</v>
      </c>
      <c r="C74" s="5" t="s">
        <v>8</v>
      </c>
      <c r="D74" s="10">
        <v>14.52</v>
      </c>
      <c r="E74" s="13"/>
    </row>
    <row r="75" spans="2:13" s="5" customFormat="1" x14ac:dyDescent="0.3">
      <c r="B75" s="5">
        <v>3</v>
      </c>
      <c r="C75" s="5" t="s">
        <v>8</v>
      </c>
      <c r="D75" s="10">
        <v>12.537000000000001</v>
      </c>
      <c r="E75" s="13"/>
    </row>
    <row r="76" spans="2:13" s="5" customFormat="1" x14ac:dyDescent="0.3">
      <c r="B76" s="5">
        <v>3</v>
      </c>
      <c r="C76" s="5" t="s">
        <v>8</v>
      </c>
      <c r="D76" s="10">
        <v>20.635999999999999</v>
      </c>
      <c r="E76" s="13"/>
    </row>
    <row r="77" spans="2:13" s="5" customFormat="1" x14ac:dyDescent="0.3">
      <c r="B77" s="5">
        <v>3</v>
      </c>
      <c r="C77" s="5" t="s">
        <v>8</v>
      </c>
      <c r="D77" s="10">
        <v>14.747</v>
      </c>
      <c r="E77" s="13"/>
    </row>
    <row r="78" spans="2:13" s="5" customFormat="1" x14ac:dyDescent="0.3">
      <c r="B78" s="5">
        <v>3</v>
      </c>
      <c r="C78" s="5" t="s">
        <v>9</v>
      </c>
      <c r="D78" s="10">
        <v>11.471</v>
      </c>
      <c r="E78" s="4">
        <v>14.631</v>
      </c>
      <c r="G78" s="5">
        <f t="shared" ref="G78:G92" si="3">((E78-AVERAGE($E$41:$E$69))/AVERAGE($E$41:$E$69))*100</f>
        <v>-3.8764414036836339</v>
      </c>
      <c r="H78" s="5">
        <f t="shared" ref="H78:H107" si="4">((D78-AVERAGE($D$41:$D$77))/AVERAGE($D$41:$D$77))*100</f>
        <v>-24.138886356771202</v>
      </c>
      <c r="I78" s="5">
        <f>(AVERAGE(G78)-(AVERAGE($E$41:$E$69))/(AVERAGE($E$41:$E$69)))</f>
        <v>-4.8764414036836339</v>
      </c>
    </row>
    <row r="79" spans="2:13" s="5" customFormat="1" x14ac:dyDescent="0.3">
      <c r="B79" s="5">
        <v>3</v>
      </c>
      <c r="C79" s="5" t="s">
        <v>9</v>
      </c>
      <c r="D79" s="10">
        <v>12.113</v>
      </c>
      <c r="E79" s="4">
        <v>11.754</v>
      </c>
      <c r="G79" s="5">
        <f t="shared" si="3"/>
        <v>-22.77791622301261</v>
      </c>
      <c r="H79" s="5">
        <f t="shared" si="4"/>
        <v>-19.893150591889952</v>
      </c>
      <c r="I79" s="5">
        <f t="shared" ref="I79:I132" si="5">(AVERAGE(G79)-(AVERAGE($E$41:$E$69))/(AVERAGE($E$41:$E$69)))</f>
        <v>-23.77791622301261</v>
      </c>
      <c r="M79" s="5">
        <f>AVERAGE(E78:E92)</f>
        <v>19.219400000000004</v>
      </c>
    </row>
    <row r="80" spans="2:13" s="5" customFormat="1" x14ac:dyDescent="0.3">
      <c r="B80" s="5">
        <v>3</v>
      </c>
      <c r="C80" s="5" t="s">
        <v>9</v>
      </c>
      <c r="D80" s="10">
        <v>13.731999999999999</v>
      </c>
      <c r="E80" s="4">
        <v>10.27</v>
      </c>
      <c r="G80" s="5">
        <f t="shared" si="3"/>
        <v>-32.527582066559432</v>
      </c>
      <c r="H80" s="5">
        <f t="shared" si="4"/>
        <v>-9.1862250415118325</v>
      </c>
      <c r="I80" s="5">
        <f t="shared" si="5"/>
        <v>-33.527582066559432</v>
      </c>
    </row>
    <row r="81" spans="2:9" s="5" customFormat="1" x14ac:dyDescent="0.3">
      <c r="B81" s="5">
        <v>3</v>
      </c>
      <c r="C81" s="5" t="s">
        <v>9</v>
      </c>
      <c r="D81" s="10">
        <v>13.416</v>
      </c>
      <c r="E81" s="4">
        <v>15.746</v>
      </c>
      <c r="G81" s="5">
        <f t="shared" si="3"/>
        <v>3.448947690355924</v>
      </c>
      <c r="H81" s="5">
        <f t="shared" si="4"/>
        <v>-11.276026446032818</v>
      </c>
      <c r="I81" s="5">
        <f t="shared" si="5"/>
        <v>2.448947690355924</v>
      </c>
    </row>
    <row r="82" spans="2:9" s="5" customFormat="1" x14ac:dyDescent="0.3">
      <c r="B82" s="5">
        <v>3</v>
      </c>
      <c r="C82" s="5" t="s">
        <v>9</v>
      </c>
      <c r="D82" s="10">
        <v>17.702000000000002</v>
      </c>
      <c r="E82" s="4">
        <v>11.565</v>
      </c>
      <c r="G82" s="5">
        <f t="shared" si="3"/>
        <v>-24.019618948369988</v>
      </c>
      <c r="H82" s="5">
        <f t="shared" si="4"/>
        <v>17.068558426679129</v>
      </c>
      <c r="I82" s="5">
        <f t="shared" si="5"/>
        <v>-25.019618948369988</v>
      </c>
    </row>
    <row r="83" spans="2:9" s="5" customFormat="1" x14ac:dyDescent="0.3">
      <c r="B83" s="5">
        <v>3</v>
      </c>
      <c r="C83" s="5" t="s">
        <v>9</v>
      </c>
      <c r="D83" s="10">
        <v>12.445</v>
      </c>
      <c r="E83" s="4">
        <v>54.116</v>
      </c>
      <c r="G83" s="5">
        <f>((E83-AVERAGE($E$41:$E$69))/AVERAGE($E$41:$E$69))*100</f>
        <v>255.53431050497278</v>
      </c>
      <c r="H83" s="5">
        <f t="shared" si="4"/>
        <v>-17.697536458026121</v>
      </c>
      <c r="I83" s="5">
        <f t="shared" si="5"/>
        <v>254.53431050497278</v>
      </c>
    </row>
    <row r="84" spans="2:9" s="5" customFormat="1" x14ac:dyDescent="0.3">
      <c r="B84" s="5">
        <v>3</v>
      </c>
      <c r="C84" s="5" t="s">
        <v>9</v>
      </c>
      <c r="D84" s="10">
        <v>9.6549999999999994</v>
      </c>
      <c r="E84" s="4">
        <v>35.982999999999997</v>
      </c>
      <c r="G84" s="5">
        <f t="shared" si="3"/>
        <v>136.40311728325142</v>
      </c>
      <c r="H84" s="5">
        <f t="shared" si="4"/>
        <v>-36.148631137182988</v>
      </c>
      <c r="I84" s="5">
        <f t="shared" si="5"/>
        <v>135.40311728325142</v>
      </c>
    </row>
    <row r="85" spans="2:9" s="5" customFormat="1" x14ac:dyDescent="0.3">
      <c r="B85" s="5">
        <v>3</v>
      </c>
      <c r="C85" s="5" t="s">
        <v>9</v>
      </c>
      <c r="D85" s="10">
        <v>7.9219999999999997</v>
      </c>
      <c r="E85" s="4">
        <v>20.007000000000001</v>
      </c>
      <c r="G85" s="5">
        <f t="shared" si="3"/>
        <v>31.443102784259562</v>
      </c>
      <c r="H85" s="5">
        <f t="shared" si="4"/>
        <v>-47.609472384128807</v>
      </c>
      <c r="I85" s="5">
        <f t="shared" si="5"/>
        <v>30.443102784259562</v>
      </c>
    </row>
    <row r="86" spans="2:9" s="5" customFormat="1" x14ac:dyDescent="0.3">
      <c r="B86" s="5">
        <v>3</v>
      </c>
      <c r="C86" s="5" t="s">
        <v>9</v>
      </c>
      <c r="D86" s="10">
        <v>9.0809999999999995</v>
      </c>
      <c r="E86" s="4">
        <v>15.013999999999999</v>
      </c>
      <c r="G86" s="5">
        <f t="shared" si="3"/>
        <v>-1.3601866745202764</v>
      </c>
      <c r="H86" s="5">
        <f t="shared" si="4"/>
        <v>-39.944662802357186</v>
      </c>
      <c r="I86" s="5">
        <f t="shared" si="5"/>
        <v>-2.3601866745202766</v>
      </c>
    </row>
    <row r="87" spans="2:9" s="5" customFormat="1" x14ac:dyDescent="0.3">
      <c r="B87" s="5">
        <v>3</v>
      </c>
      <c r="C87" s="5" t="s">
        <v>9</v>
      </c>
      <c r="D87" s="10">
        <v>18.972999999999999</v>
      </c>
      <c r="E87" s="4">
        <v>20.413</v>
      </c>
      <c r="G87" s="5">
        <f t="shared" si="3"/>
        <v>34.110464194286507</v>
      </c>
      <c r="H87" s="5">
        <f t="shared" si="4"/>
        <v>25.474057113850566</v>
      </c>
      <c r="I87" s="5">
        <f t="shared" si="5"/>
        <v>33.110464194286507</v>
      </c>
    </row>
    <row r="88" spans="2:9" s="5" customFormat="1" x14ac:dyDescent="0.3">
      <c r="B88" s="5">
        <v>3</v>
      </c>
      <c r="C88" s="5" t="s">
        <v>9</v>
      </c>
      <c r="D88" s="10">
        <v>15.999000000000001</v>
      </c>
      <c r="E88" s="4">
        <v>15.541</v>
      </c>
      <c r="G88" s="5">
        <f t="shared" si="3"/>
        <v>2.1021272739630001</v>
      </c>
      <c r="H88" s="5">
        <f t="shared" si="4"/>
        <v>5.8061160472511153</v>
      </c>
      <c r="I88" s="5">
        <f t="shared" si="5"/>
        <v>1.1021272739630001</v>
      </c>
    </row>
    <row r="89" spans="2:9" s="5" customFormat="1" x14ac:dyDescent="0.3">
      <c r="B89" s="5">
        <v>3</v>
      </c>
      <c r="C89" s="5" t="s">
        <v>9</v>
      </c>
      <c r="D89" s="10">
        <v>21.573</v>
      </c>
      <c r="E89" s="4">
        <v>15.590999999999999</v>
      </c>
      <c r="G89" s="5">
        <f t="shared" si="3"/>
        <v>2.430620058449072</v>
      </c>
      <c r="H89" s="5">
        <f t="shared" si="4"/>
        <v>42.668625632061271</v>
      </c>
      <c r="I89" s="5">
        <f t="shared" si="5"/>
        <v>1.430620058449072</v>
      </c>
    </row>
    <row r="90" spans="2:9" s="5" customFormat="1" x14ac:dyDescent="0.3">
      <c r="B90" s="5">
        <v>3</v>
      </c>
      <c r="C90" s="5" t="s">
        <v>9</v>
      </c>
      <c r="D90" s="10">
        <v>12.981999999999999</v>
      </c>
      <c r="E90" s="4">
        <v>14.733000000000001</v>
      </c>
      <c r="G90" s="5">
        <f t="shared" si="3"/>
        <v>-3.2063161233320314</v>
      </c>
      <c r="H90" s="5">
        <f t="shared" si="4"/>
        <v>-14.146196729457225</v>
      </c>
      <c r="I90" s="5">
        <f t="shared" si="5"/>
        <v>-4.2063161233320319</v>
      </c>
    </row>
    <row r="91" spans="2:9" s="5" customFormat="1" x14ac:dyDescent="0.3">
      <c r="B91" s="5">
        <v>3</v>
      </c>
      <c r="C91" s="5" t="s">
        <v>9</v>
      </c>
      <c r="D91" s="10">
        <v>16.558</v>
      </c>
      <c r="E91" s="4">
        <v>12.262</v>
      </c>
      <c r="G91" s="5">
        <f t="shared" si="3"/>
        <v>-19.440429532634042</v>
      </c>
      <c r="H91" s="5">
        <f t="shared" si="4"/>
        <v>9.5029482786664108</v>
      </c>
      <c r="I91" s="5">
        <f t="shared" si="5"/>
        <v>-20.440429532634042</v>
      </c>
    </row>
    <row r="92" spans="2:9" s="5" customFormat="1" x14ac:dyDescent="0.3">
      <c r="B92" s="5">
        <v>3</v>
      </c>
      <c r="C92" s="5" t="s">
        <v>9</v>
      </c>
      <c r="D92" s="10">
        <v>10.972</v>
      </c>
      <c r="E92" s="4">
        <v>20.664999999999999</v>
      </c>
      <c r="G92" s="5">
        <f t="shared" si="3"/>
        <v>35.76606782809634</v>
      </c>
      <c r="H92" s="5">
        <f t="shared" si="4"/>
        <v>-27.438920853150872</v>
      </c>
      <c r="I92" s="5">
        <f t="shared" si="5"/>
        <v>34.76606782809634</v>
      </c>
    </row>
    <row r="93" spans="2:9" s="5" customFormat="1" x14ac:dyDescent="0.3">
      <c r="B93" s="5">
        <v>3</v>
      </c>
      <c r="C93" s="5" t="s">
        <v>9</v>
      </c>
      <c r="D93" s="10">
        <v>12.436999999999999</v>
      </c>
      <c r="E93" s="13"/>
      <c r="H93" s="5">
        <f t="shared" si="4"/>
        <v>-17.750442822697543</v>
      </c>
    </row>
    <row r="94" spans="2:9" s="5" customFormat="1" x14ac:dyDescent="0.3">
      <c r="B94" s="5">
        <v>3</v>
      </c>
      <c r="C94" s="5" t="s">
        <v>9</v>
      </c>
      <c r="D94" s="10">
        <v>14.673999999999999</v>
      </c>
      <c r="E94" s="13"/>
      <c r="H94" s="5">
        <f t="shared" si="4"/>
        <v>-2.9565006014524178</v>
      </c>
    </row>
    <row r="95" spans="2:9" s="5" customFormat="1" x14ac:dyDescent="0.3">
      <c r="B95" s="5">
        <v>3</v>
      </c>
      <c r="C95" s="5" t="s">
        <v>9</v>
      </c>
      <c r="D95" s="10">
        <v>22.67</v>
      </c>
      <c r="E95" s="13"/>
      <c r="H95" s="5">
        <f t="shared" si="4"/>
        <v>49.923410887629409</v>
      </c>
    </row>
    <row r="96" spans="2:9" s="5" customFormat="1" x14ac:dyDescent="0.3">
      <c r="B96" s="5">
        <v>3</v>
      </c>
      <c r="C96" s="5" t="s">
        <v>9</v>
      </c>
      <c r="D96" s="10">
        <v>12.548</v>
      </c>
      <c r="E96" s="13"/>
      <c r="H96" s="5">
        <f t="shared" si="4"/>
        <v>-17.01636701288162</v>
      </c>
    </row>
    <row r="97" spans="2:9" s="5" customFormat="1" x14ac:dyDescent="0.3">
      <c r="B97" s="5">
        <v>3</v>
      </c>
      <c r="C97" s="5" t="s">
        <v>9</v>
      </c>
      <c r="D97" s="10">
        <v>14.346</v>
      </c>
      <c r="E97" s="13"/>
      <c r="H97" s="5">
        <f t="shared" si="4"/>
        <v>-5.1256615529805325</v>
      </c>
    </row>
    <row r="98" spans="2:9" s="5" customFormat="1" x14ac:dyDescent="0.3">
      <c r="B98" s="5">
        <v>3</v>
      </c>
      <c r="C98" s="5" t="s">
        <v>9</v>
      </c>
      <c r="D98" s="10">
        <v>12.901999999999999</v>
      </c>
      <c r="E98" s="13"/>
      <c r="H98" s="5">
        <f t="shared" si="4"/>
        <v>-14.675260376171401</v>
      </c>
    </row>
    <row r="99" spans="2:9" s="5" customFormat="1" x14ac:dyDescent="0.3">
      <c r="B99" s="5">
        <v>3</v>
      </c>
      <c r="C99" s="5" t="s">
        <v>9</v>
      </c>
      <c r="D99" s="10">
        <v>15.407</v>
      </c>
      <c r="E99" s="13"/>
      <c r="H99" s="5">
        <f t="shared" si="4"/>
        <v>1.891045061566216</v>
      </c>
    </row>
    <row r="100" spans="2:9" s="5" customFormat="1" x14ac:dyDescent="0.3">
      <c r="B100" s="5">
        <v>3</v>
      </c>
      <c r="C100" s="5" t="s">
        <v>9</v>
      </c>
      <c r="D100" s="10">
        <v>15.865</v>
      </c>
      <c r="E100" s="13"/>
      <c r="H100" s="5">
        <f t="shared" si="4"/>
        <v>4.9199344390048703</v>
      </c>
    </row>
    <row r="101" spans="2:9" s="5" customFormat="1" x14ac:dyDescent="0.3">
      <c r="B101" s="5">
        <v>3</v>
      </c>
      <c r="C101" s="5" t="s">
        <v>9</v>
      </c>
      <c r="D101" s="10">
        <v>11.045999999999999</v>
      </c>
      <c r="E101" s="13"/>
      <c r="H101" s="5">
        <f t="shared" si="4"/>
        <v>-26.949536979940262</v>
      </c>
    </row>
    <row r="102" spans="2:9" s="5" customFormat="1" x14ac:dyDescent="0.3">
      <c r="B102" s="5">
        <v>3</v>
      </c>
      <c r="C102" s="5" t="s">
        <v>9</v>
      </c>
      <c r="D102" s="10">
        <v>11.4</v>
      </c>
      <c r="E102" s="13"/>
      <c r="H102" s="5">
        <f t="shared" si="4"/>
        <v>-24.60843034323003</v>
      </c>
    </row>
    <row r="103" spans="2:9" s="5" customFormat="1" x14ac:dyDescent="0.3">
      <c r="B103" s="5">
        <v>3</v>
      </c>
      <c r="C103" s="5" t="s">
        <v>9</v>
      </c>
      <c r="D103" s="10">
        <v>15.688000000000001</v>
      </c>
      <c r="E103" s="13"/>
      <c r="H103" s="5">
        <f t="shared" si="4"/>
        <v>3.74938112064976</v>
      </c>
    </row>
    <row r="104" spans="2:9" s="5" customFormat="1" x14ac:dyDescent="0.3">
      <c r="B104" s="5">
        <v>3</v>
      </c>
      <c r="C104" s="5" t="s">
        <v>9</v>
      </c>
      <c r="D104" s="10">
        <v>22.065999999999999</v>
      </c>
      <c r="E104" s="13"/>
      <c r="H104" s="5">
        <f t="shared" si="4"/>
        <v>45.928980354937366</v>
      </c>
    </row>
    <row r="105" spans="2:9" s="5" customFormat="1" x14ac:dyDescent="0.3">
      <c r="B105" s="5">
        <v>3</v>
      </c>
      <c r="C105" s="5" t="s">
        <v>9</v>
      </c>
      <c r="D105" s="10">
        <v>18.629000000000001</v>
      </c>
      <c r="E105" s="13"/>
      <c r="H105" s="5">
        <f t="shared" si="4"/>
        <v>23.199083432979631</v>
      </c>
    </row>
    <row r="106" spans="2:9" s="5" customFormat="1" x14ac:dyDescent="0.3">
      <c r="B106" s="5">
        <v>3</v>
      </c>
      <c r="C106" s="5" t="s">
        <v>9</v>
      </c>
      <c r="D106" s="10">
        <v>20.548999999999999</v>
      </c>
      <c r="E106" s="13"/>
      <c r="H106" s="5">
        <f t="shared" si="4"/>
        <v>35.896610954119822</v>
      </c>
    </row>
    <row r="107" spans="2:9" s="5" customFormat="1" x14ac:dyDescent="0.3">
      <c r="B107" s="5">
        <v>3</v>
      </c>
      <c r="C107" s="5" t="s">
        <v>9</v>
      </c>
      <c r="D107" s="10">
        <v>10.997999999999999</v>
      </c>
      <c r="E107" s="13"/>
      <c r="H107" s="5">
        <f t="shared" si="4"/>
        <v>-27.26697516796877</v>
      </c>
    </row>
    <row r="108" spans="2:9" s="5" customFormat="1" x14ac:dyDescent="0.3">
      <c r="B108" s="5">
        <v>3</v>
      </c>
      <c r="C108" s="5" t="s">
        <v>7</v>
      </c>
      <c r="D108" s="11">
        <v>33.405999999999999</v>
      </c>
      <c r="E108" s="4">
        <v>16.09</v>
      </c>
      <c r="G108" s="5">
        <f t="shared" ref="G108:G132" si="6">((E108-AVERAGE($E$41:$E$69))/AVERAGE($E$41:$E$69))*100</f>
        <v>5.7089780476201417</v>
      </c>
      <c r="H108" s="5">
        <f t="shared" ref="H108:H143" si="7">((D108-AVERAGE($D$41:$D$77))/AVERAGE($D$41:$D$77))*100</f>
        <v>120.92375227667169</v>
      </c>
      <c r="I108" s="5">
        <f t="shared" si="5"/>
        <v>4.7089780476201417</v>
      </c>
    </row>
    <row r="109" spans="2:9" s="5" customFormat="1" x14ac:dyDescent="0.3">
      <c r="B109" s="5">
        <v>3</v>
      </c>
      <c r="C109" s="5" t="s">
        <v>7</v>
      </c>
      <c r="D109" s="11">
        <v>26.225000000000001</v>
      </c>
      <c r="E109" s="4">
        <v>23.001000000000001</v>
      </c>
      <c r="G109" s="5">
        <f t="shared" si="6"/>
        <v>51.113250719285951</v>
      </c>
      <c r="H109" s="5">
        <f t="shared" si="7"/>
        <v>73.433676688490564</v>
      </c>
      <c r="I109" s="5">
        <f t="shared" si="5"/>
        <v>50.113250719285951</v>
      </c>
    </row>
    <row r="110" spans="2:9" s="5" customFormat="1" x14ac:dyDescent="0.3">
      <c r="B110" s="5">
        <v>3</v>
      </c>
      <c r="C110" s="5" t="s">
        <v>7</v>
      </c>
      <c r="D110" s="11">
        <v>25.727</v>
      </c>
      <c r="E110" s="4">
        <v>21.652999999999999</v>
      </c>
      <c r="G110" s="5">
        <f t="shared" si="6"/>
        <v>42.257085249541255</v>
      </c>
      <c r="H110" s="5">
        <f t="shared" si="7"/>
        <v>70.140255487694816</v>
      </c>
      <c r="I110" s="5">
        <f t="shared" si="5"/>
        <v>41.257085249541255</v>
      </c>
    </row>
    <row r="111" spans="2:9" s="5" customFormat="1" x14ac:dyDescent="0.3">
      <c r="B111" s="5">
        <v>3</v>
      </c>
      <c r="C111" s="5" t="s">
        <v>7</v>
      </c>
      <c r="D111" s="11">
        <v>25.292999999999999</v>
      </c>
      <c r="E111" s="4">
        <v>13.506</v>
      </c>
      <c r="G111" s="5">
        <f t="shared" si="6"/>
        <v>-11.267529054620407</v>
      </c>
      <c r="H111" s="5">
        <f t="shared" si="7"/>
        <v>67.270085204270416</v>
      </c>
      <c r="I111" s="5">
        <f t="shared" si="5"/>
        <v>-12.267529054620407</v>
      </c>
    </row>
    <row r="112" spans="2:9" s="5" customFormat="1" x14ac:dyDescent="0.3">
      <c r="B112" s="5">
        <v>3</v>
      </c>
      <c r="C112" s="5" t="s">
        <v>7</v>
      </c>
      <c r="D112" s="11">
        <v>18.832999999999998</v>
      </c>
      <c r="E112" s="4">
        <v>25.341000000000001</v>
      </c>
      <c r="G112" s="5">
        <f t="shared" si="6"/>
        <v>66.486713033234452</v>
      </c>
      <c r="H112" s="5">
        <f t="shared" si="7"/>
        <v>24.548195732100758</v>
      </c>
      <c r="I112" s="5">
        <f t="shared" si="5"/>
        <v>65.486713033234452</v>
      </c>
    </row>
    <row r="113" spans="2:9" s="5" customFormat="1" x14ac:dyDescent="0.3">
      <c r="B113" s="5">
        <v>3</v>
      </c>
      <c r="C113" s="5" t="s">
        <v>7</v>
      </c>
      <c r="D113" s="11">
        <v>20.917000000000002</v>
      </c>
      <c r="E113" s="4">
        <v>13.577999999999999</v>
      </c>
      <c r="G113" s="5">
        <f t="shared" si="6"/>
        <v>-10.794499444960458</v>
      </c>
      <c r="H113" s="5">
        <f t="shared" si="7"/>
        <v>38.330303729005045</v>
      </c>
      <c r="I113" s="5">
        <f t="shared" si="5"/>
        <v>-11.794499444960458</v>
      </c>
    </row>
    <row r="114" spans="2:9" s="5" customFormat="1" x14ac:dyDescent="0.3">
      <c r="B114" s="5">
        <v>3</v>
      </c>
      <c r="C114" s="5" t="s">
        <v>7</v>
      </c>
      <c r="D114" s="11">
        <v>30.920999999999999</v>
      </c>
      <c r="E114" s="4">
        <v>25.167000000000002</v>
      </c>
      <c r="G114" s="5">
        <f t="shared" si="6"/>
        <v>65.343558143222893</v>
      </c>
      <c r="H114" s="5">
        <f t="shared" si="7"/>
        <v>104.48971275061263</v>
      </c>
      <c r="I114" s="5">
        <f t="shared" si="5"/>
        <v>64.343558143222893</v>
      </c>
    </row>
    <row r="115" spans="2:9" s="5" customFormat="1" x14ac:dyDescent="0.3">
      <c r="B115" s="5">
        <v>3</v>
      </c>
      <c r="C115" s="5" t="s">
        <v>7</v>
      </c>
      <c r="D115" s="11">
        <v>33.594000000000001</v>
      </c>
      <c r="E115" s="4">
        <v>18.388000000000002</v>
      </c>
      <c r="G115" s="5">
        <f t="shared" si="6"/>
        <v>20.806506422600332</v>
      </c>
      <c r="H115" s="5">
        <f t="shared" si="7"/>
        <v>122.16705184645002</v>
      </c>
      <c r="I115" s="5">
        <f t="shared" si="5"/>
        <v>19.806506422600332</v>
      </c>
    </row>
    <row r="116" spans="2:9" s="5" customFormat="1" x14ac:dyDescent="0.3">
      <c r="B116" s="5">
        <v>3</v>
      </c>
      <c r="C116" s="5" t="s">
        <v>7</v>
      </c>
      <c r="D116" s="11">
        <v>31.29</v>
      </c>
      <c r="E116" s="4">
        <v>37.597999999999999</v>
      </c>
      <c r="G116" s="5">
        <f t="shared" si="6"/>
        <v>147.01343422215177</v>
      </c>
      <c r="H116" s="5">
        <f t="shared" si="7"/>
        <v>106.93001882108177</v>
      </c>
      <c r="I116" s="5">
        <f t="shared" si="5"/>
        <v>146.01343422215177</v>
      </c>
    </row>
    <row r="117" spans="2:9" s="5" customFormat="1" x14ac:dyDescent="0.3">
      <c r="B117" s="5">
        <v>3</v>
      </c>
      <c r="C117" s="5" t="s">
        <v>7</v>
      </c>
      <c r="D117" s="11">
        <v>31.626999999999999</v>
      </c>
      <c r="E117" s="4">
        <v>24.943000000000001</v>
      </c>
      <c r="G117" s="5">
        <f t="shared" si="6"/>
        <v>63.871910468725254</v>
      </c>
      <c r="H117" s="5">
        <f t="shared" si="7"/>
        <v>109.15869943286522</v>
      </c>
      <c r="I117" s="5">
        <f t="shared" si="5"/>
        <v>62.871910468725254</v>
      </c>
    </row>
    <row r="118" spans="2:9" s="5" customFormat="1" x14ac:dyDescent="0.3">
      <c r="B118" s="5">
        <v>3</v>
      </c>
      <c r="C118" s="5" t="s">
        <v>7</v>
      </c>
      <c r="D118" s="11">
        <v>33.383000000000003</v>
      </c>
      <c r="E118" s="4">
        <v>14.394</v>
      </c>
      <c r="G118" s="5">
        <f t="shared" si="6"/>
        <v>-5.433497202147648</v>
      </c>
      <c r="H118" s="5">
        <f t="shared" si="7"/>
        <v>120.77164647824139</v>
      </c>
      <c r="I118" s="5">
        <f t="shared" si="5"/>
        <v>-6.433497202147648</v>
      </c>
    </row>
    <row r="119" spans="2:9" s="5" customFormat="1" x14ac:dyDescent="0.3">
      <c r="B119" s="5">
        <v>3</v>
      </c>
      <c r="C119" s="5" t="s">
        <v>7</v>
      </c>
      <c r="D119" s="11">
        <v>33.697000000000003</v>
      </c>
      <c r="E119" s="4">
        <v>12.153</v>
      </c>
      <c r="G119" s="5">
        <f t="shared" si="6"/>
        <v>-20.156543802813694</v>
      </c>
      <c r="H119" s="5">
        <f t="shared" si="7"/>
        <v>122.84822129159454</v>
      </c>
      <c r="I119" s="5">
        <f t="shared" si="5"/>
        <v>-21.156543802813694</v>
      </c>
    </row>
    <row r="120" spans="2:9" s="5" customFormat="1" x14ac:dyDescent="0.3">
      <c r="B120" s="5">
        <v>3</v>
      </c>
      <c r="C120" s="5" t="s">
        <v>7</v>
      </c>
      <c r="D120" s="11">
        <v>32.234000000000002</v>
      </c>
      <c r="E120" s="4">
        <v>12.943</v>
      </c>
      <c r="G120" s="5">
        <f t="shared" si="6"/>
        <v>-14.966357807933656</v>
      </c>
      <c r="H120" s="5">
        <f t="shared" si="7"/>
        <v>113.17296985230905</v>
      </c>
      <c r="I120" s="5">
        <f t="shared" si="5"/>
        <v>-15.966357807933656</v>
      </c>
    </row>
    <row r="121" spans="2:9" s="5" customFormat="1" x14ac:dyDescent="0.3">
      <c r="B121" s="5">
        <v>3</v>
      </c>
      <c r="C121" s="5" t="s">
        <v>7</v>
      </c>
      <c r="D121" s="11">
        <v>41.951999999999998</v>
      </c>
      <c r="E121" s="4">
        <v>12.943</v>
      </c>
      <c r="G121" s="5">
        <f t="shared" si="6"/>
        <v>-14.966357807933656</v>
      </c>
      <c r="H121" s="5">
        <f t="shared" si="7"/>
        <v>177.44097633691348</v>
      </c>
      <c r="I121" s="5">
        <f t="shared" si="5"/>
        <v>-15.966357807933656</v>
      </c>
    </row>
    <row r="122" spans="2:9" s="5" customFormat="1" x14ac:dyDescent="0.3">
      <c r="B122" s="5">
        <v>3</v>
      </c>
      <c r="C122" s="5" t="s">
        <v>7</v>
      </c>
      <c r="D122" s="11">
        <v>41.795999999999999</v>
      </c>
      <c r="E122" s="4">
        <v>47.064</v>
      </c>
      <c r="G122" s="5">
        <f t="shared" si="6"/>
        <v>209.20368818105621</v>
      </c>
      <c r="H122" s="5">
        <f t="shared" si="7"/>
        <v>176.40930222582082</v>
      </c>
      <c r="I122" s="5">
        <f t="shared" si="5"/>
        <v>208.20368818105621</v>
      </c>
    </row>
    <row r="123" spans="2:9" s="5" customFormat="1" x14ac:dyDescent="0.3">
      <c r="B123" s="5">
        <v>3</v>
      </c>
      <c r="C123" s="5" t="s">
        <v>7</v>
      </c>
      <c r="D123" s="11">
        <v>25.338000000000001</v>
      </c>
      <c r="E123" s="4">
        <v>23.893000000000001</v>
      </c>
      <c r="G123" s="5">
        <f t="shared" si="6"/>
        <v>56.973561994517596</v>
      </c>
      <c r="H123" s="5">
        <f t="shared" si="7"/>
        <v>67.567683505547151</v>
      </c>
      <c r="I123" s="5">
        <f t="shared" si="5"/>
        <v>55.973561994517596</v>
      </c>
    </row>
    <row r="124" spans="2:9" s="5" customFormat="1" x14ac:dyDescent="0.3">
      <c r="B124" s="5">
        <v>3</v>
      </c>
      <c r="C124" s="5" t="s">
        <v>7</v>
      </c>
      <c r="D124" s="11">
        <v>20.254999999999999</v>
      </c>
      <c r="E124" s="4">
        <v>28.245999999999999</v>
      </c>
      <c r="G124" s="5">
        <f t="shared" si="6"/>
        <v>85.572143811875605</v>
      </c>
      <c r="H124" s="5">
        <f t="shared" si="7"/>
        <v>33.952302052445226</v>
      </c>
      <c r="I124" s="5">
        <f t="shared" si="5"/>
        <v>84.572143811875605</v>
      </c>
    </row>
    <row r="125" spans="2:9" s="5" customFormat="1" x14ac:dyDescent="0.3">
      <c r="B125" s="5">
        <v>3</v>
      </c>
      <c r="C125" s="5" t="s">
        <v>7</v>
      </c>
      <c r="D125" s="11">
        <v>32.267000000000003</v>
      </c>
      <c r="E125" s="4">
        <v>24.370999999999999</v>
      </c>
      <c r="G125" s="5">
        <f t="shared" si="6"/>
        <v>60.113953014204505</v>
      </c>
      <c r="H125" s="5">
        <f t="shared" si="7"/>
        <v>113.39120860657866</v>
      </c>
      <c r="I125" s="5">
        <f t="shared" si="5"/>
        <v>59.113953014204505</v>
      </c>
    </row>
    <row r="126" spans="2:9" s="5" customFormat="1" x14ac:dyDescent="0.3">
      <c r="B126" s="5">
        <v>3</v>
      </c>
      <c r="C126" s="5" t="s">
        <v>7</v>
      </c>
      <c r="D126" s="11">
        <v>34.279000000000003</v>
      </c>
      <c r="E126" s="4">
        <v>28.754999999999999</v>
      </c>
      <c r="G126" s="5">
        <f t="shared" si="6"/>
        <v>88.916200357943893</v>
      </c>
      <c r="H126" s="5">
        <f t="shared" si="7"/>
        <v>126.69715932144017</v>
      </c>
      <c r="I126" s="5">
        <f t="shared" si="5"/>
        <v>87.916200357943893</v>
      </c>
    </row>
    <row r="127" spans="2:9" s="5" customFormat="1" x14ac:dyDescent="0.3">
      <c r="B127" s="5">
        <v>3</v>
      </c>
      <c r="C127" s="5" t="s">
        <v>7</v>
      </c>
      <c r="D127" s="11">
        <v>35.182000000000002</v>
      </c>
      <c r="E127" s="4">
        <v>22.46</v>
      </c>
      <c r="G127" s="5">
        <f t="shared" si="6"/>
        <v>47.55895879114658</v>
      </c>
      <c r="H127" s="5">
        <f t="shared" si="7"/>
        <v>132.66896523372642</v>
      </c>
      <c r="I127" s="5">
        <f t="shared" si="5"/>
        <v>46.55895879114658</v>
      </c>
    </row>
    <row r="128" spans="2:9" s="5" customFormat="1" x14ac:dyDescent="0.3">
      <c r="B128" s="5">
        <v>3</v>
      </c>
      <c r="C128" s="5" t="s">
        <v>7</v>
      </c>
      <c r="D128" s="11">
        <v>24.509</v>
      </c>
      <c r="E128" s="4">
        <v>10.208</v>
      </c>
      <c r="G128" s="5">
        <f t="shared" si="6"/>
        <v>-32.934913119322161</v>
      </c>
      <c r="H128" s="5">
        <f t="shared" si="7"/>
        <v>62.085261466471501</v>
      </c>
      <c r="I128" s="5">
        <f t="shared" si="5"/>
        <v>-33.934913119322161</v>
      </c>
    </row>
    <row r="129" spans="2:11" s="5" customFormat="1" x14ac:dyDescent="0.3">
      <c r="B129" s="5">
        <v>3</v>
      </c>
      <c r="C129" s="5" t="s">
        <v>7</v>
      </c>
      <c r="D129" s="11">
        <v>21.847999999999999</v>
      </c>
      <c r="E129" s="4">
        <v>22.459</v>
      </c>
      <c r="G129" s="5">
        <f t="shared" si="6"/>
        <v>47.552388935456854</v>
      </c>
      <c r="H129" s="5">
        <f t="shared" si="7"/>
        <v>44.487281917641241</v>
      </c>
      <c r="I129" s="5">
        <f t="shared" si="5"/>
        <v>46.552388935456854</v>
      </c>
    </row>
    <row r="130" spans="2:11" s="5" customFormat="1" x14ac:dyDescent="0.3">
      <c r="B130" s="5">
        <v>3</v>
      </c>
      <c r="C130" s="5" t="s">
        <v>7</v>
      </c>
      <c r="D130" s="11">
        <v>27.353000000000002</v>
      </c>
      <c r="E130" s="4">
        <v>12.048999999999999</v>
      </c>
      <c r="G130" s="5">
        <f t="shared" si="6"/>
        <v>-20.839808794544744</v>
      </c>
      <c r="H130" s="5">
        <f t="shared" si="7"/>
        <v>80.893474107160429</v>
      </c>
      <c r="I130" s="5">
        <f t="shared" si="5"/>
        <v>-21.839808794544744</v>
      </c>
    </row>
    <row r="131" spans="2:11" s="5" customFormat="1" x14ac:dyDescent="0.3">
      <c r="B131" s="5">
        <v>3</v>
      </c>
      <c r="C131" s="5" t="s">
        <v>7</v>
      </c>
      <c r="D131" s="11">
        <v>20.138000000000002</v>
      </c>
      <c r="E131" s="4">
        <v>13.428000000000001</v>
      </c>
      <c r="G131" s="5">
        <f t="shared" si="6"/>
        <v>-11.779977798418685</v>
      </c>
      <c r="H131" s="5">
        <f t="shared" si="7"/>
        <v>33.178546469125763</v>
      </c>
      <c r="I131" s="5">
        <f t="shared" si="5"/>
        <v>-12.779977798418685</v>
      </c>
    </row>
    <row r="132" spans="2:11" s="5" customFormat="1" x14ac:dyDescent="0.3">
      <c r="B132" s="5">
        <v>3</v>
      </c>
      <c r="C132" s="5" t="s">
        <v>7</v>
      </c>
      <c r="D132" s="11">
        <v>33.348999999999997</v>
      </c>
      <c r="E132" s="4">
        <v>10.391</v>
      </c>
      <c r="G132" s="5">
        <f t="shared" si="6"/>
        <v>-31.732629528103111</v>
      </c>
      <c r="H132" s="5">
        <f t="shared" si="7"/>
        <v>120.54679442838783</v>
      </c>
      <c r="I132" s="5">
        <f t="shared" si="5"/>
        <v>-32.732629528103111</v>
      </c>
    </row>
    <row r="133" spans="2:11" s="5" customFormat="1" x14ac:dyDescent="0.3">
      <c r="B133" s="5">
        <v>3</v>
      </c>
      <c r="C133" s="5" t="s">
        <v>7</v>
      </c>
      <c r="D133" s="11">
        <v>39.704000000000001</v>
      </c>
      <c r="E133" s="13"/>
      <c r="H133" s="5">
        <f t="shared" si="7"/>
        <v>162.57428786424515</v>
      </c>
    </row>
    <row r="134" spans="2:11" s="5" customFormat="1" x14ac:dyDescent="0.3">
      <c r="B134" s="5">
        <v>3</v>
      </c>
      <c r="C134" s="5" t="s">
        <v>7</v>
      </c>
      <c r="D134" s="11">
        <v>15.977</v>
      </c>
      <c r="E134" s="13"/>
      <c r="H134" s="5">
        <f t="shared" si="7"/>
        <v>5.6606235444047162</v>
      </c>
    </row>
    <row r="135" spans="2:11" s="5" customFormat="1" x14ac:dyDescent="0.3">
      <c r="B135" s="5">
        <v>3</v>
      </c>
      <c r="C135" s="5" t="s">
        <v>7</v>
      </c>
      <c r="D135" s="11">
        <v>18.484000000000002</v>
      </c>
      <c r="E135" s="13"/>
      <c r="H135" s="5">
        <f t="shared" si="7"/>
        <v>22.24015557331019</v>
      </c>
    </row>
    <row r="136" spans="2:11" s="5" customFormat="1" x14ac:dyDescent="0.3">
      <c r="B136" s="5">
        <v>3</v>
      </c>
      <c r="C136" s="5" t="s">
        <v>7</v>
      </c>
      <c r="D136" s="11">
        <v>34.103000000000002</v>
      </c>
      <c r="E136" s="13"/>
      <c r="H136" s="5">
        <f t="shared" si="7"/>
        <v>125.53321929866897</v>
      </c>
    </row>
    <row r="137" spans="2:11" s="5" customFormat="1" x14ac:dyDescent="0.3">
      <c r="B137" s="5">
        <v>3</v>
      </c>
      <c r="C137" s="5" t="s">
        <v>7</v>
      </c>
      <c r="D137" s="11">
        <v>23.678999999999998</v>
      </c>
      <c r="E137" s="13"/>
      <c r="H137" s="5">
        <f t="shared" si="7"/>
        <v>56.596226131811925</v>
      </c>
    </row>
    <row r="138" spans="2:11" s="5" customFormat="1" x14ac:dyDescent="0.3">
      <c r="B138" s="5">
        <v>3</v>
      </c>
      <c r="C138" s="5" t="s">
        <v>7</v>
      </c>
      <c r="D138" s="11">
        <v>43.881</v>
      </c>
      <c r="E138" s="13"/>
      <c r="H138" s="5">
        <f t="shared" si="7"/>
        <v>190.19802351830904</v>
      </c>
    </row>
    <row r="139" spans="2:11" s="5" customFormat="1" x14ac:dyDescent="0.3">
      <c r="B139" s="5">
        <v>3</v>
      </c>
      <c r="C139" s="5" t="s">
        <v>7</v>
      </c>
      <c r="D139" s="11">
        <v>36.722999999999999</v>
      </c>
      <c r="E139" s="13"/>
      <c r="H139" s="5">
        <f t="shared" si="7"/>
        <v>142.8600537285582</v>
      </c>
    </row>
    <row r="140" spans="2:11" s="5" customFormat="1" x14ac:dyDescent="0.3">
      <c r="B140" s="5">
        <v>3</v>
      </c>
      <c r="C140" s="5" t="s">
        <v>7</v>
      </c>
      <c r="D140" s="11">
        <v>36.936</v>
      </c>
      <c r="E140" s="13"/>
      <c r="H140" s="5">
        <f t="shared" si="7"/>
        <v>144.26868568793469</v>
      </c>
    </row>
    <row r="141" spans="2:11" s="5" customFormat="1" x14ac:dyDescent="0.3">
      <c r="B141" s="5">
        <v>3</v>
      </c>
      <c r="C141" s="5" t="s">
        <v>7</v>
      </c>
      <c r="D141" s="11">
        <v>32.090000000000003</v>
      </c>
      <c r="E141" s="13"/>
      <c r="H141" s="5">
        <f t="shared" si="7"/>
        <v>112.22065528822355</v>
      </c>
    </row>
    <row r="142" spans="2:11" s="5" customFormat="1" x14ac:dyDescent="0.3">
      <c r="B142" s="5">
        <v>3</v>
      </c>
      <c r="C142" s="5" t="s">
        <v>7</v>
      </c>
      <c r="D142" s="11">
        <v>30.274000000000001</v>
      </c>
      <c r="E142" s="13"/>
      <c r="H142" s="5">
        <f t="shared" si="7"/>
        <v>100.21091050781175</v>
      </c>
    </row>
    <row r="143" spans="2:11" s="5" customFormat="1" x14ac:dyDescent="0.3">
      <c r="B143" s="5">
        <v>3</v>
      </c>
      <c r="C143" s="5" t="s">
        <v>7</v>
      </c>
      <c r="D143" s="11">
        <v>35.445</v>
      </c>
      <c r="E143" s="13"/>
      <c r="H143" s="5">
        <f t="shared" si="7"/>
        <v>134.40826197229924</v>
      </c>
    </row>
    <row r="144" spans="2:11" s="5" customFormat="1" x14ac:dyDescent="0.3">
      <c r="B144" s="5">
        <v>3</v>
      </c>
      <c r="C144" s="5" t="s">
        <v>5</v>
      </c>
      <c r="D144" s="11">
        <v>29.584</v>
      </c>
      <c r="E144" s="4">
        <v>19.707000000000001</v>
      </c>
      <c r="G144" s="5">
        <f t="shared" ref="G144:G174" si="8">((E144-AVERAGE($E$41:$E$69))/AVERAGE($E$41:$E$69))*100</f>
        <v>29.472146077343087</v>
      </c>
      <c r="H144" s="5">
        <f t="shared" ref="H144:H182" si="9">((D144-AVERAGE($D$41:$D$77))/AVERAGE($D$41:$D$77))*100</f>
        <v>95.647736554901982</v>
      </c>
      <c r="I144" s="5">
        <f>(AVERAGE(G144)-(AVERAGE($E$41:$E$69))/(AVERAGE($E$41:$E$69)))</f>
        <v>28.472146077343087</v>
      </c>
      <c r="K144" s="5">
        <f>AVERAGE(E144:E174)</f>
        <v>16.044161290322585</v>
      </c>
    </row>
    <row r="145" spans="2:9" s="5" customFormat="1" x14ac:dyDescent="0.3">
      <c r="B145" s="5">
        <v>3</v>
      </c>
      <c r="C145" s="5" t="s">
        <v>5</v>
      </c>
      <c r="D145" s="11">
        <v>28.672000000000001</v>
      </c>
      <c r="E145" s="4">
        <v>9.8989999999999991</v>
      </c>
      <c r="G145" s="5">
        <f t="shared" si="8"/>
        <v>-34.964998527446134</v>
      </c>
      <c r="H145" s="5">
        <f t="shared" si="9"/>
        <v>89.616410982360392</v>
      </c>
      <c r="I145" s="5">
        <f t="shared" ref="I145:I174" si="10">(AVERAGE(G145)-(AVERAGE($E$41:$E$69))/(AVERAGE($E$41:$E$69)))</f>
        <v>-35.964998527446134</v>
      </c>
    </row>
    <row r="146" spans="2:9" s="5" customFormat="1" x14ac:dyDescent="0.3">
      <c r="B146" s="5">
        <v>3</v>
      </c>
      <c r="C146" s="5" t="s">
        <v>5</v>
      </c>
      <c r="D146" s="11">
        <v>26.082000000000001</v>
      </c>
      <c r="E146" s="4">
        <v>15.523999999999999</v>
      </c>
      <c r="G146" s="5">
        <f t="shared" si="8"/>
        <v>1.9904397272377254</v>
      </c>
      <c r="H146" s="5">
        <f t="shared" si="9"/>
        <v>72.48797541998897</v>
      </c>
      <c r="I146" s="5">
        <f t="shared" si="10"/>
        <v>0.99043972723772544</v>
      </c>
    </row>
    <row r="147" spans="2:9" s="5" customFormat="1" x14ac:dyDescent="0.3">
      <c r="B147" s="5">
        <v>3</v>
      </c>
      <c r="C147" s="5" t="s">
        <v>5</v>
      </c>
      <c r="D147" s="11">
        <v>23.19</v>
      </c>
      <c r="E147" s="4">
        <v>20.57</v>
      </c>
      <c r="G147" s="5">
        <f t="shared" si="8"/>
        <v>35.141931537572802</v>
      </c>
      <c r="H147" s="5">
        <f t="shared" si="9"/>
        <v>53.362324591271545</v>
      </c>
      <c r="I147" s="5">
        <f t="shared" si="10"/>
        <v>34.141931537572802</v>
      </c>
    </row>
    <row r="148" spans="2:9" s="5" customFormat="1" x14ac:dyDescent="0.3">
      <c r="B148" s="5">
        <v>3</v>
      </c>
      <c r="C148" s="5" t="s">
        <v>5</v>
      </c>
      <c r="D148" s="11">
        <v>25.417999999999999</v>
      </c>
      <c r="E148" s="4">
        <v>19.602</v>
      </c>
      <c r="G148" s="5">
        <f t="shared" si="8"/>
        <v>28.782311229922314</v>
      </c>
      <c r="H148" s="5">
        <f t="shared" si="9"/>
        <v>68.096747152261301</v>
      </c>
      <c r="I148" s="5">
        <f t="shared" si="10"/>
        <v>27.782311229922314</v>
      </c>
    </row>
    <row r="149" spans="2:9" s="5" customFormat="1" x14ac:dyDescent="0.3">
      <c r="B149" s="5">
        <v>3</v>
      </c>
      <c r="C149" s="5" t="s">
        <v>5</v>
      </c>
      <c r="D149" s="11">
        <v>15.323</v>
      </c>
      <c r="E149" s="4">
        <v>31.273</v>
      </c>
      <c r="G149" s="5">
        <f t="shared" si="8"/>
        <v>105.45909698466281</v>
      </c>
      <c r="H149" s="5">
        <f t="shared" si="9"/>
        <v>1.3355282325163345</v>
      </c>
      <c r="I149" s="5">
        <f t="shared" si="10"/>
        <v>104.45909698466281</v>
      </c>
    </row>
    <row r="150" spans="2:9" s="5" customFormat="1" x14ac:dyDescent="0.3">
      <c r="B150" s="5">
        <v>3</v>
      </c>
      <c r="C150" s="5" t="s">
        <v>5</v>
      </c>
      <c r="D150" s="11">
        <v>26.044</v>
      </c>
      <c r="E150" s="4">
        <v>8.1050000000000004</v>
      </c>
      <c r="G150" s="5">
        <f t="shared" si="8"/>
        <v>-46.751319634806634</v>
      </c>
      <c r="H150" s="5">
        <f t="shared" si="9"/>
        <v>72.236670187799731</v>
      </c>
      <c r="I150" s="5">
        <f t="shared" si="10"/>
        <v>-47.751319634806634</v>
      </c>
    </row>
    <row r="151" spans="2:9" s="5" customFormat="1" x14ac:dyDescent="0.3">
      <c r="B151" s="5">
        <v>3</v>
      </c>
      <c r="C151" s="5" t="s">
        <v>5</v>
      </c>
      <c r="D151" s="11">
        <v>26.937000000000001</v>
      </c>
      <c r="E151" s="4">
        <v>14.753</v>
      </c>
      <c r="G151" s="5">
        <f t="shared" si="8"/>
        <v>-3.0749190095376027</v>
      </c>
      <c r="H151" s="5">
        <f t="shared" si="9"/>
        <v>78.142343144246723</v>
      </c>
      <c r="I151" s="5">
        <f t="shared" si="10"/>
        <v>-4.0749190095376022</v>
      </c>
    </row>
    <row r="152" spans="2:9" s="5" customFormat="1" x14ac:dyDescent="0.3">
      <c r="B152" s="5">
        <v>3</v>
      </c>
      <c r="C152" s="5" t="s">
        <v>5</v>
      </c>
      <c r="D152" s="11">
        <v>21.648</v>
      </c>
      <c r="E152" s="4">
        <v>18.82</v>
      </c>
      <c r="G152" s="5">
        <f t="shared" si="8"/>
        <v>23.644684080560044</v>
      </c>
      <c r="H152" s="5">
        <f t="shared" si="9"/>
        <v>43.16462280085581</v>
      </c>
      <c r="I152" s="5">
        <f t="shared" si="10"/>
        <v>22.644684080560044</v>
      </c>
    </row>
    <row r="153" spans="2:9" s="5" customFormat="1" x14ac:dyDescent="0.3">
      <c r="B153" s="5">
        <v>3</v>
      </c>
      <c r="C153" s="5" t="s">
        <v>5</v>
      </c>
      <c r="D153" s="11">
        <v>21.966999999999999</v>
      </c>
      <c r="E153" s="4">
        <v>14.455</v>
      </c>
      <c r="G153" s="5">
        <f t="shared" si="8"/>
        <v>-5.0327360050746321</v>
      </c>
      <c r="H153" s="5">
        <f t="shared" si="9"/>
        <v>45.274264092128575</v>
      </c>
      <c r="I153" s="5">
        <f t="shared" si="10"/>
        <v>-6.0327360050746321</v>
      </c>
    </row>
    <row r="154" spans="2:9" s="5" customFormat="1" x14ac:dyDescent="0.3">
      <c r="B154" s="5">
        <v>3</v>
      </c>
      <c r="C154" s="5" t="s">
        <v>5</v>
      </c>
      <c r="D154" s="11">
        <v>15.082000000000001</v>
      </c>
      <c r="E154" s="4">
        <v>14.186999999999999</v>
      </c>
      <c r="G154" s="5">
        <f t="shared" si="8"/>
        <v>-6.7934573299200194</v>
      </c>
      <c r="H154" s="5">
        <f t="shared" si="9"/>
        <v>-0.25827600321011612</v>
      </c>
      <c r="I154" s="5">
        <f t="shared" si="10"/>
        <v>-7.7934573299200194</v>
      </c>
    </row>
    <row r="155" spans="2:9" s="5" customFormat="1" x14ac:dyDescent="0.3">
      <c r="B155" s="5">
        <v>3</v>
      </c>
      <c r="C155" s="5" t="s">
        <v>5</v>
      </c>
      <c r="D155" s="11">
        <v>15.867000000000001</v>
      </c>
      <c r="E155" s="4">
        <v>11.137</v>
      </c>
      <c r="G155" s="5">
        <f t="shared" si="8"/>
        <v>-26.831517183570814</v>
      </c>
      <c r="H155" s="5">
        <f t="shared" si="9"/>
        <v>4.9331610301727284</v>
      </c>
      <c r="I155" s="5">
        <f t="shared" si="10"/>
        <v>-27.831517183570814</v>
      </c>
    </row>
    <row r="156" spans="2:9" s="5" customFormat="1" x14ac:dyDescent="0.3">
      <c r="B156" s="5">
        <v>3</v>
      </c>
      <c r="C156" s="5" t="s">
        <v>5</v>
      </c>
      <c r="D156" s="11">
        <v>21.042000000000002</v>
      </c>
      <c r="E156" s="4">
        <v>13.333</v>
      </c>
      <c r="G156" s="5">
        <f t="shared" si="8"/>
        <v>-12.404114088942238</v>
      </c>
      <c r="H156" s="5">
        <f t="shared" si="9"/>
        <v>39.156965676995945</v>
      </c>
      <c r="I156" s="5">
        <f t="shared" si="10"/>
        <v>-13.404114088942238</v>
      </c>
    </row>
    <row r="157" spans="2:9" s="5" customFormat="1" x14ac:dyDescent="0.3">
      <c r="B157" s="5">
        <v>3</v>
      </c>
      <c r="C157" s="5" t="s">
        <v>5</v>
      </c>
      <c r="D157" s="11">
        <v>25.802</v>
      </c>
      <c r="E157" s="4">
        <v>17.422999999999998</v>
      </c>
      <c r="G157" s="5">
        <f t="shared" si="8"/>
        <v>14.46659568201899</v>
      </c>
      <c r="H157" s="5">
        <f t="shared" si="9"/>
        <v>70.636252656489347</v>
      </c>
      <c r="I157" s="5">
        <f t="shared" si="10"/>
        <v>13.46659568201899</v>
      </c>
    </row>
    <row r="158" spans="2:9" s="5" customFormat="1" x14ac:dyDescent="0.3">
      <c r="B158" s="5">
        <v>3</v>
      </c>
      <c r="C158" s="5" t="s">
        <v>5</v>
      </c>
      <c r="D158" s="11">
        <v>29.93</v>
      </c>
      <c r="E158" s="4">
        <v>9.8070000000000004</v>
      </c>
      <c r="G158" s="5">
        <f t="shared" si="8"/>
        <v>-35.569425250900508</v>
      </c>
      <c r="H158" s="5">
        <f t="shared" si="9"/>
        <v>97.93593682694079</v>
      </c>
      <c r="I158" s="5">
        <f t="shared" si="10"/>
        <v>-36.569425250900508</v>
      </c>
    </row>
    <row r="159" spans="2:9" s="5" customFormat="1" x14ac:dyDescent="0.3">
      <c r="B159" s="5">
        <v>3</v>
      </c>
      <c r="C159" s="5" t="s">
        <v>5</v>
      </c>
      <c r="D159" s="11">
        <v>20.963999999999999</v>
      </c>
      <c r="E159" s="4">
        <v>14.538</v>
      </c>
      <c r="G159" s="5">
        <f t="shared" si="8"/>
        <v>-4.48743798282774</v>
      </c>
      <c r="H159" s="5">
        <f t="shared" si="9"/>
        <v>38.641128621449603</v>
      </c>
      <c r="I159" s="5">
        <f t="shared" si="10"/>
        <v>-5.48743798282774</v>
      </c>
    </row>
    <row r="160" spans="2:9" s="5" customFormat="1" x14ac:dyDescent="0.3">
      <c r="B160" s="5">
        <v>3</v>
      </c>
      <c r="C160" s="5" t="s">
        <v>5</v>
      </c>
      <c r="D160" s="11">
        <v>20.963999999999999</v>
      </c>
      <c r="E160" s="4">
        <v>15.683</v>
      </c>
      <c r="G160" s="5">
        <f t="shared" si="8"/>
        <v>3.0350467819034601</v>
      </c>
      <c r="H160" s="5">
        <f t="shared" si="9"/>
        <v>38.641128621449603</v>
      </c>
      <c r="I160" s="5">
        <f t="shared" si="10"/>
        <v>2.0350467819034601</v>
      </c>
    </row>
    <row r="161" spans="2:9" s="5" customFormat="1" x14ac:dyDescent="0.3">
      <c r="B161" s="5">
        <v>3</v>
      </c>
      <c r="C161" s="5" t="s">
        <v>5</v>
      </c>
      <c r="D161" s="11">
        <v>21.670999999999999</v>
      </c>
      <c r="E161" s="4">
        <v>5.7450000000000001</v>
      </c>
      <c r="G161" s="5">
        <f t="shared" si="8"/>
        <v>-62.256179062549542</v>
      </c>
      <c r="H161" s="5">
        <f t="shared" si="9"/>
        <v>43.31672859928613</v>
      </c>
      <c r="I161" s="5">
        <f t="shared" si="10"/>
        <v>-63.256179062549542</v>
      </c>
    </row>
    <row r="162" spans="2:9" s="5" customFormat="1" x14ac:dyDescent="0.3">
      <c r="B162" s="5">
        <v>3</v>
      </c>
      <c r="C162" s="5" t="s">
        <v>5</v>
      </c>
      <c r="D162" s="11">
        <v>21.814</v>
      </c>
      <c r="E162" s="4">
        <v>14.092000000000001</v>
      </c>
      <c r="G162" s="5">
        <f t="shared" si="8"/>
        <v>-7.4175936204435606</v>
      </c>
      <c r="H162" s="5">
        <f t="shared" si="9"/>
        <v>44.262429867787723</v>
      </c>
      <c r="I162" s="5">
        <f t="shared" si="10"/>
        <v>-8.4175936204435615</v>
      </c>
    </row>
    <row r="163" spans="2:9" s="5" customFormat="1" x14ac:dyDescent="0.3">
      <c r="B163" s="5">
        <v>3</v>
      </c>
      <c r="C163" s="5" t="s">
        <v>5</v>
      </c>
      <c r="D163" s="11">
        <v>16.881</v>
      </c>
      <c r="E163" s="4">
        <v>11.749000000000001</v>
      </c>
      <c r="G163" s="5">
        <f t="shared" si="8"/>
        <v>-22.810765501461212</v>
      </c>
      <c r="H163" s="5">
        <f t="shared" si="9"/>
        <v>11.639042752274895</v>
      </c>
      <c r="I163" s="5">
        <f t="shared" si="10"/>
        <v>-23.810765501461212</v>
      </c>
    </row>
    <row r="164" spans="2:9" s="5" customFormat="1" x14ac:dyDescent="0.3">
      <c r="B164" s="5">
        <v>3</v>
      </c>
      <c r="C164" s="5" t="s">
        <v>5</v>
      </c>
      <c r="D164" s="11">
        <v>28.675999999999998</v>
      </c>
      <c r="E164" s="4">
        <v>14.199</v>
      </c>
      <c r="G164" s="5">
        <f t="shared" si="8"/>
        <v>-6.7146190616433561</v>
      </c>
      <c r="H164" s="5">
        <f t="shared" si="9"/>
        <v>89.642864164696093</v>
      </c>
      <c r="I164" s="5">
        <f t="shared" si="10"/>
        <v>-7.7146190616433561</v>
      </c>
    </row>
    <row r="165" spans="2:9" s="5" customFormat="1" x14ac:dyDescent="0.3">
      <c r="B165" s="5">
        <v>3</v>
      </c>
      <c r="C165" s="5" t="s">
        <v>5</v>
      </c>
      <c r="D165" s="11">
        <v>19.47</v>
      </c>
      <c r="E165" s="4">
        <v>12.605</v>
      </c>
      <c r="G165" s="5">
        <f t="shared" si="8"/>
        <v>-17.186969031059544</v>
      </c>
      <c r="H165" s="5">
        <f t="shared" si="9"/>
        <v>28.760865019062383</v>
      </c>
      <c r="I165" s="5">
        <f t="shared" si="10"/>
        <v>-18.186969031059544</v>
      </c>
    </row>
    <row r="166" spans="2:9" s="5" customFormat="1" x14ac:dyDescent="0.3">
      <c r="B166" s="5">
        <v>3</v>
      </c>
      <c r="C166" s="5" t="s">
        <v>5</v>
      </c>
      <c r="D166" s="11">
        <v>17.754999999999999</v>
      </c>
      <c r="E166" s="4">
        <v>10.84</v>
      </c>
      <c r="G166" s="5">
        <f t="shared" si="8"/>
        <v>-28.782764323418125</v>
      </c>
      <c r="H166" s="5">
        <f t="shared" si="9"/>
        <v>17.419063092627251</v>
      </c>
      <c r="I166" s="5">
        <f t="shared" si="10"/>
        <v>-29.782764323418125</v>
      </c>
    </row>
    <row r="167" spans="2:9" s="5" customFormat="1" x14ac:dyDescent="0.3">
      <c r="B167" s="5">
        <v>3</v>
      </c>
      <c r="C167" s="5" t="s">
        <v>5</v>
      </c>
      <c r="D167" s="11">
        <v>16.343</v>
      </c>
      <c r="E167" s="4">
        <v>17.588000000000001</v>
      </c>
      <c r="G167" s="5">
        <f t="shared" si="8"/>
        <v>15.550621870823067</v>
      </c>
      <c r="H167" s="5">
        <f t="shared" si="9"/>
        <v>8.0810897281220644</v>
      </c>
      <c r="I167" s="5">
        <f t="shared" si="10"/>
        <v>14.550621870823067</v>
      </c>
    </row>
    <row r="168" spans="2:9" s="5" customFormat="1" x14ac:dyDescent="0.3">
      <c r="B168" s="5">
        <v>3</v>
      </c>
      <c r="C168" s="5" t="s">
        <v>5</v>
      </c>
      <c r="D168" s="11">
        <v>11.933</v>
      </c>
      <c r="E168" s="4">
        <v>8.1760000000000002</v>
      </c>
      <c r="G168" s="5">
        <f t="shared" si="8"/>
        <v>-46.2848598808364</v>
      </c>
      <c r="H168" s="5">
        <f t="shared" si="9"/>
        <v>-21.083543796996842</v>
      </c>
      <c r="I168" s="5">
        <f t="shared" si="10"/>
        <v>-47.2848598808364</v>
      </c>
    </row>
    <row r="169" spans="2:9" s="5" customFormat="1" x14ac:dyDescent="0.3">
      <c r="B169" s="5">
        <v>3</v>
      </c>
      <c r="C169" s="5" t="s">
        <v>5</v>
      </c>
      <c r="D169" s="11">
        <v>14.621</v>
      </c>
      <c r="E169" s="4">
        <v>36.862000000000002</v>
      </c>
      <c r="G169" s="5">
        <f t="shared" si="8"/>
        <v>142.1780204345167</v>
      </c>
      <c r="H169" s="5">
        <f t="shared" si="9"/>
        <v>-3.3070052674005526</v>
      </c>
      <c r="I169" s="5">
        <f t="shared" si="10"/>
        <v>141.1780204345167</v>
      </c>
    </row>
    <row r="170" spans="2:9" s="5" customFormat="1" x14ac:dyDescent="0.3">
      <c r="B170" s="5">
        <v>3</v>
      </c>
      <c r="C170" s="5" t="s">
        <v>5</v>
      </c>
      <c r="D170" s="11">
        <v>14.159000000000001</v>
      </c>
      <c r="E170" s="4">
        <v>36.862000000000002</v>
      </c>
      <c r="G170" s="5">
        <f t="shared" si="8"/>
        <v>142.1780204345167</v>
      </c>
      <c r="H170" s="5">
        <f t="shared" si="9"/>
        <v>-6.3623478271749132</v>
      </c>
      <c r="I170" s="5">
        <f t="shared" si="10"/>
        <v>141.1780204345167</v>
      </c>
    </row>
    <row r="171" spans="2:9" s="5" customFormat="1" x14ac:dyDescent="0.3">
      <c r="B171" s="5">
        <v>3</v>
      </c>
      <c r="C171" s="5" t="s">
        <v>5</v>
      </c>
      <c r="D171" s="11">
        <v>25.870999999999999</v>
      </c>
      <c r="E171" s="4">
        <v>31.87</v>
      </c>
      <c r="G171" s="5">
        <f t="shared" si="8"/>
        <v>109.38130083142661</v>
      </c>
      <c r="H171" s="5">
        <f t="shared" si="9"/>
        <v>71.092570051780328</v>
      </c>
      <c r="I171" s="5">
        <f t="shared" si="10"/>
        <v>108.38130083142661</v>
      </c>
    </row>
    <row r="172" spans="2:9" s="5" customFormat="1" x14ac:dyDescent="0.3">
      <c r="B172" s="5">
        <v>3</v>
      </c>
      <c r="C172" s="5" t="s">
        <v>5</v>
      </c>
      <c r="D172" s="11">
        <v>14.414999999999999</v>
      </c>
      <c r="E172" s="4">
        <v>8.3670000000000009</v>
      </c>
      <c r="G172" s="5">
        <f t="shared" si="8"/>
        <v>-45.03001744409957</v>
      </c>
      <c r="H172" s="5">
        <f t="shared" si="9"/>
        <v>-4.6693441576895625</v>
      </c>
      <c r="I172" s="5">
        <f t="shared" si="10"/>
        <v>-46.03001744409957</v>
      </c>
    </row>
    <row r="173" spans="2:9" s="5" customFormat="1" x14ac:dyDescent="0.3">
      <c r="B173" s="5">
        <v>3</v>
      </c>
      <c r="C173" s="5" t="s">
        <v>5</v>
      </c>
      <c r="D173" s="11">
        <v>22.917000000000002</v>
      </c>
      <c r="E173" s="4">
        <v>9.3970000000000002</v>
      </c>
      <c r="G173" s="5">
        <f t="shared" si="8"/>
        <v>-38.263066083686361</v>
      </c>
      <c r="H173" s="5">
        <f t="shared" si="9"/>
        <v>51.556894896859419</v>
      </c>
      <c r="I173" s="5">
        <f t="shared" si="10"/>
        <v>-39.263066083686361</v>
      </c>
    </row>
    <row r="174" spans="2:9" s="5" customFormat="1" x14ac:dyDescent="0.3">
      <c r="B174" s="5">
        <v>3</v>
      </c>
      <c r="C174" s="5" t="s">
        <v>5</v>
      </c>
      <c r="D174" s="11">
        <v>17.577999999999999</v>
      </c>
      <c r="E174" s="4">
        <v>10.201000000000001</v>
      </c>
      <c r="G174" s="5">
        <f t="shared" si="8"/>
        <v>-32.980902109150215</v>
      </c>
      <c r="H174" s="5">
        <f t="shared" si="9"/>
        <v>16.24850977427214</v>
      </c>
      <c r="I174" s="5">
        <f t="shared" si="10"/>
        <v>-33.980902109150215</v>
      </c>
    </row>
    <row r="175" spans="2:9" s="5" customFormat="1" x14ac:dyDescent="0.3">
      <c r="B175" s="5">
        <v>3</v>
      </c>
      <c r="C175" s="5" t="s">
        <v>5</v>
      </c>
      <c r="D175" s="11">
        <v>24.661999999999999</v>
      </c>
      <c r="E175" s="13"/>
      <c r="H175" s="5">
        <f t="shared" si="9"/>
        <v>63.097095690812353</v>
      </c>
    </row>
    <row r="176" spans="2:9" s="5" customFormat="1" x14ac:dyDescent="0.3">
      <c r="B176" s="5">
        <v>3</v>
      </c>
      <c r="C176" s="5" t="s">
        <v>5</v>
      </c>
      <c r="D176" s="11">
        <v>22.010999999999999</v>
      </c>
      <c r="E176" s="13"/>
      <c r="H176" s="5">
        <f t="shared" si="9"/>
        <v>45.565249097821372</v>
      </c>
    </row>
    <row r="177" spans="2:8" s="5" customFormat="1" x14ac:dyDescent="0.3">
      <c r="B177" s="5">
        <v>3</v>
      </c>
      <c r="C177" s="5" t="s">
        <v>5</v>
      </c>
      <c r="D177" s="11">
        <v>19.373999999999999</v>
      </c>
      <c r="E177" s="13"/>
      <c r="H177" s="5">
        <f t="shared" si="9"/>
        <v>28.125988643005371</v>
      </c>
    </row>
    <row r="178" spans="2:8" s="5" customFormat="1" x14ac:dyDescent="0.3">
      <c r="B178" s="5">
        <v>3</v>
      </c>
      <c r="C178" s="5" t="s">
        <v>5</v>
      </c>
      <c r="D178" s="11">
        <v>19.855</v>
      </c>
      <c r="E178" s="13"/>
      <c r="H178" s="5">
        <f t="shared" si="9"/>
        <v>31.306983818874361</v>
      </c>
    </row>
    <row r="179" spans="2:8" s="5" customFormat="1" x14ac:dyDescent="0.3">
      <c r="B179" s="5">
        <v>3</v>
      </c>
      <c r="C179" s="5" t="s">
        <v>5</v>
      </c>
      <c r="D179" s="11">
        <v>21.751000000000001</v>
      </c>
      <c r="E179" s="13"/>
      <c r="H179" s="5">
        <f t="shared" si="9"/>
        <v>43.845792246000315</v>
      </c>
    </row>
    <row r="180" spans="2:8" s="5" customFormat="1" x14ac:dyDescent="0.3">
      <c r="B180" s="5">
        <v>3</v>
      </c>
      <c r="C180" s="5" t="s">
        <v>5</v>
      </c>
      <c r="D180" s="11">
        <v>20.731000000000002</v>
      </c>
      <c r="E180" s="13"/>
      <c r="H180" s="5">
        <f t="shared" si="9"/>
        <v>37.100230750394587</v>
      </c>
    </row>
    <row r="181" spans="2:8" s="5" customFormat="1" x14ac:dyDescent="0.3">
      <c r="B181" s="5">
        <v>3</v>
      </c>
      <c r="C181" s="5" t="s">
        <v>5</v>
      </c>
      <c r="D181" s="11">
        <v>26.273</v>
      </c>
      <c r="E181" s="13"/>
      <c r="H181" s="5">
        <f t="shared" si="9"/>
        <v>73.751114876519068</v>
      </c>
    </row>
    <row r="182" spans="2:8" s="5" customFormat="1" x14ac:dyDescent="0.3">
      <c r="B182" s="5">
        <v>3</v>
      </c>
      <c r="C182" s="5" t="s">
        <v>5</v>
      </c>
      <c r="D182" s="11">
        <v>14.429</v>
      </c>
      <c r="E182" s="13"/>
      <c r="H182" s="5">
        <f t="shared" si="9"/>
        <v>-4.5767580195145738</v>
      </c>
    </row>
    <row r="183" spans="2:8" x14ac:dyDescent="0.3">
      <c r="E183" s="1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97CE-9328-4499-B529-DF6DE5067E31}">
  <dimension ref="A1:E40"/>
  <sheetViews>
    <sheetView tabSelected="1" workbookViewId="0">
      <selection activeCell="E4" sqref="E4"/>
    </sheetView>
  </sheetViews>
  <sheetFormatPr defaultRowHeight="14.4" x14ac:dyDescent="0.3"/>
  <cols>
    <col min="1" max="2" width="7.5546875" bestFit="1" customWidth="1"/>
    <col min="3" max="3" width="13.44140625" bestFit="1" customWidth="1"/>
    <col min="5" max="5" width="10.109375" bestFit="1" customWidth="1"/>
  </cols>
  <sheetData>
    <row r="1" spans="1:5" x14ac:dyDescent="0.3">
      <c r="A1" s="5" t="s">
        <v>16</v>
      </c>
      <c r="B1" t="s">
        <v>17</v>
      </c>
      <c r="C1" t="s">
        <v>19</v>
      </c>
      <c r="D1" t="s">
        <v>18</v>
      </c>
      <c r="E1" t="s">
        <v>8</v>
      </c>
    </row>
    <row r="2" spans="1:5" x14ac:dyDescent="0.3">
      <c r="A2" s="10">
        <v>33.35</v>
      </c>
      <c r="B2" s="10">
        <v>11.471</v>
      </c>
      <c r="C2" s="11">
        <v>33.405999999999999</v>
      </c>
      <c r="D2" s="11">
        <v>29.584</v>
      </c>
      <c r="E2" s="10">
        <v>17.323</v>
      </c>
    </row>
    <row r="3" spans="1:5" x14ac:dyDescent="0.3">
      <c r="A3" s="10">
        <v>26.11</v>
      </c>
      <c r="B3" s="10">
        <v>12.113</v>
      </c>
      <c r="C3" s="11">
        <v>26.225000000000001</v>
      </c>
      <c r="D3" s="11">
        <v>28.672000000000001</v>
      </c>
      <c r="E3" s="10">
        <v>17.465</v>
      </c>
    </row>
    <row r="4" spans="1:5" x14ac:dyDescent="0.3">
      <c r="A4" s="10">
        <v>39.93</v>
      </c>
      <c r="B4" s="10">
        <v>13.731999999999999</v>
      </c>
      <c r="C4" s="11">
        <v>25.727</v>
      </c>
      <c r="D4" s="11">
        <v>26.082000000000001</v>
      </c>
      <c r="E4" s="10">
        <v>17.167000000000002</v>
      </c>
    </row>
    <row r="5" spans="1:5" x14ac:dyDescent="0.3">
      <c r="A5" s="10">
        <v>37.11</v>
      </c>
      <c r="B5" s="10">
        <v>13.416</v>
      </c>
      <c r="C5" s="11">
        <v>25.292999999999999</v>
      </c>
      <c r="D5" s="11">
        <v>23.19</v>
      </c>
      <c r="E5" s="10">
        <v>13.113</v>
      </c>
    </row>
    <row r="6" spans="1:5" x14ac:dyDescent="0.3">
      <c r="A6" s="10">
        <v>38.75</v>
      </c>
      <c r="B6" s="10">
        <v>17.702000000000002</v>
      </c>
      <c r="C6" s="11">
        <v>18.832999999999998</v>
      </c>
      <c r="D6" s="11">
        <v>25.417999999999999</v>
      </c>
      <c r="E6" s="10">
        <v>18.309000000000001</v>
      </c>
    </row>
    <row r="7" spans="1:5" x14ac:dyDescent="0.3">
      <c r="A7" s="10">
        <v>47.55</v>
      </c>
      <c r="B7" s="10">
        <v>12.445</v>
      </c>
      <c r="C7" s="11">
        <v>20.917000000000002</v>
      </c>
      <c r="D7" s="11">
        <v>15.323</v>
      </c>
      <c r="E7" s="10">
        <v>19.484999999999999</v>
      </c>
    </row>
    <row r="8" spans="1:5" x14ac:dyDescent="0.3">
      <c r="A8" s="10">
        <v>36</v>
      </c>
      <c r="B8" s="10">
        <v>9.6549999999999994</v>
      </c>
      <c r="C8" s="11">
        <v>30.920999999999999</v>
      </c>
      <c r="D8" s="11">
        <v>26.044</v>
      </c>
      <c r="E8" s="10">
        <v>15.266</v>
      </c>
    </row>
    <row r="9" spans="1:5" x14ac:dyDescent="0.3">
      <c r="A9" s="10">
        <v>36</v>
      </c>
      <c r="B9" s="10">
        <v>7.9219999999999997</v>
      </c>
      <c r="C9" s="11">
        <v>33.594000000000001</v>
      </c>
      <c r="D9" s="11">
        <v>26.937000000000001</v>
      </c>
      <c r="E9" s="10">
        <v>15.279</v>
      </c>
    </row>
    <row r="10" spans="1:5" x14ac:dyDescent="0.3">
      <c r="A10" s="10">
        <v>30.51</v>
      </c>
      <c r="B10" s="10">
        <v>9.0809999999999995</v>
      </c>
      <c r="C10" s="11">
        <v>31.29</v>
      </c>
      <c r="D10" s="11">
        <v>21.648</v>
      </c>
      <c r="E10" s="10">
        <v>12.125</v>
      </c>
    </row>
    <row r="11" spans="1:5" x14ac:dyDescent="0.3">
      <c r="A11" s="10">
        <v>31.52</v>
      </c>
      <c r="B11" s="10">
        <v>18.972999999999999</v>
      </c>
      <c r="C11" s="11">
        <v>31.626999999999999</v>
      </c>
      <c r="D11" s="11">
        <v>21.966999999999999</v>
      </c>
      <c r="E11" s="10">
        <v>14.968999999999999</v>
      </c>
    </row>
    <row r="12" spans="1:5" x14ac:dyDescent="0.3">
      <c r="A12" s="10">
        <v>29.06</v>
      </c>
      <c r="B12" s="10">
        <v>15.999000000000001</v>
      </c>
      <c r="C12" s="11">
        <v>33.383000000000003</v>
      </c>
      <c r="D12" s="11">
        <v>15.082000000000001</v>
      </c>
      <c r="E12" s="10">
        <v>12.058999999999999</v>
      </c>
    </row>
    <row r="13" spans="1:5" x14ac:dyDescent="0.3">
      <c r="A13" s="10">
        <v>28.62</v>
      </c>
      <c r="B13" s="10">
        <v>21.573</v>
      </c>
      <c r="C13" s="11">
        <v>33.697000000000003</v>
      </c>
      <c r="D13" s="11">
        <v>15.867000000000001</v>
      </c>
      <c r="E13" s="10">
        <v>10.978</v>
      </c>
    </row>
    <row r="14" spans="1:5" x14ac:dyDescent="0.3">
      <c r="A14" s="10">
        <v>28.42</v>
      </c>
      <c r="B14" s="10">
        <v>12.981999999999999</v>
      </c>
      <c r="C14" s="11">
        <v>32.234000000000002</v>
      </c>
      <c r="D14" s="11">
        <v>21.042000000000002</v>
      </c>
      <c r="E14" s="10">
        <v>15.598000000000001</v>
      </c>
    </row>
    <row r="15" spans="1:5" x14ac:dyDescent="0.3">
      <c r="A15" s="10">
        <v>30.34</v>
      </c>
      <c r="B15" s="10">
        <v>16.558</v>
      </c>
      <c r="C15" s="11">
        <v>41.951999999999998</v>
      </c>
      <c r="D15" s="11">
        <v>25.802</v>
      </c>
      <c r="E15" s="10">
        <v>16.099</v>
      </c>
    </row>
    <row r="16" spans="1:5" x14ac:dyDescent="0.3">
      <c r="A16" s="10">
        <v>37.770000000000003</v>
      </c>
      <c r="B16" s="10">
        <v>10.972</v>
      </c>
      <c r="C16" s="11">
        <v>41.795999999999999</v>
      </c>
      <c r="D16" s="11">
        <v>29.93</v>
      </c>
      <c r="E16" s="10">
        <v>12.452999999999999</v>
      </c>
    </row>
    <row r="17" spans="1:5" x14ac:dyDescent="0.3">
      <c r="A17" s="10">
        <v>25.68</v>
      </c>
      <c r="B17" s="10">
        <v>12.436999999999999</v>
      </c>
      <c r="C17" s="11">
        <v>25.338000000000001</v>
      </c>
      <c r="D17" s="11">
        <v>20.963999999999999</v>
      </c>
      <c r="E17" s="10">
        <v>17.600000000000001</v>
      </c>
    </row>
    <row r="18" spans="1:5" x14ac:dyDescent="0.3">
      <c r="A18" s="10">
        <v>16.47</v>
      </c>
      <c r="B18" s="10">
        <v>14.673999999999999</v>
      </c>
      <c r="C18" s="11">
        <v>20.254999999999999</v>
      </c>
      <c r="D18" s="11">
        <v>20.963999999999999</v>
      </c>
      <c r="E18" s="10">
        <v>13.679</v>
      </c>
    </row>
    <row r="19" spans="1:5" x14ac:dyDescent="0.3">
      <c r="A19" s="10">
        <v>28.88</v>
      </c>
      <c r="B19" s="10">
        <v>22.67</v>
      </c>
      <c r="C19" s="11">
        <v>32.267000000000003</v>
      </c>
      <c r="D19" s="11">
        <v>21.670999999999999</v>
      </c>
      <c r="E19" s="10">
        <v>12.916</v>
      </c>
    </row>
    <row r="20" spans="1:5" x14ac:dyDescent="0.3">
      <c r="A20" s="10">
        <v>31.65</v>
      </c>
      <c r="B20" s="10">
        <v>12.548</v>
      </c>
      <c r="C20" s="11">
        <v>34.279000000000003</v>
      </c>
      <c r="D20" s="11">
        <v>21.814</v>
      </c>
      <c r="E20" s="10">
        <v>13.957000000000001</v>
      </c>
    </row>
    <row r="21" spans="1:5" x14ac:dyDescent="0.3">
      <c r="A21" s="10">
        <v>24.02</v>
      </c>
      <c r="B21" s="10">
        <v>14.346</v>
      </c>
      <c r="C21" s="11">
        <v>35.182000000000002</v>
      </c>
      <c r="D21" s="11">
        <v>16.881</v>
      </c>
      <c r="E21" s="10">
        <v>10.472</v>
      </c>
    </row>
    <row r="22" spans="1:5" x14ac:dyDescent="0.3">
      <c r="A22" s="10">
        <v>24.56</v>
      </c>
      <c r="B22" s="10">
        <v>12.901999999999999</v>
      </c>
      <c r="C22" s="11">
        <v>24.509</v>
      </c>
      <c r="D22" s="11">
        <v>28.675999999999998</v>
      </c>
      <c r="E22" s="10">
        <v>11.747</v>
      </c>
    </row>
    <row r="23" spans="1:5" x14ac:dyDescent="0.3">
      <c r="A23" s="10">
        <v>33.28</v>
      </c>
      <c r="B23" s="10">
        <v>15.407</v>
      </c>
      <c r="C23" s="11">
        <v>21.847999999999999</v>
      </c>
      <c r="D23" s="11">
        <v>19.47</v>
      </c>
      <c r="E23" s="10">
        <v>17.821000000000002</v>
      </c>
    </row>
    <row r="24" spans="1:5" x14ac:dyDescent="0.3">
      <c r="A24" s="10">
        <v>29.83</v>
      </c>
      <c r="B24" s="10">
        <v>15.865</v>
      </c>
      <c r="C24" s="11">
        <v>27.353000000000002</v>
      </c>
      <c r="D24" s="11">
        <v>17.754999999999999</v>
      </c>
      <c r="E24" s="10">
        <v>16.119</v>
      </c>
    </row>
    <row r="25" spans="1:5" x14ac:dyDescent="0.3">
      <c r="A25" s="10">
        <v>25.96</v>
      </c>
      <c r="B25" s="10">
        <v>11.045999999999999</v>
      </c>
      <c r="C25" s="11">
        <v>20.138000000000002</v>
      </c>
      <c r="D25" s="11">
        <v>16.343</v>
      </c>
      <c r="E25" s="10">
        <v>15.122999999999999</v>
      </c>
    </row>
    <row r="26" spans="1:5" x14ac:dyDescent="0.3">
      <c r="A26" s="10">
        <v>29.81</v>
      </c>
      <c r="B26" s="10">
        <v>11.4</v>
      </c>
      <c r="C26" s="11">
        <v>33.348999999999997</v>
      </c>
      <c r="D26" s="11">
        <v>11.933</v>
      </c>
      <c r="E26" s="10">
        <v>15.073</v>
      </c>
    </row>
    <row r="27" spans="1:5" x14ac:dyDescent="0.3">
      <c r="A27" s="10">
        <v>33.5</v>
      </c>
      <c r="B27" s="10">
        <v>15.688000000000001</v>
      </c>
      <c r="C27" s="11">
        <v>39.704000000000001</v>
      </c>
      <c r="D27" s="11">
        <v>14.621</v>
      </c>
      <c r="E27" s="10">
        <v>14.416</v>
      </c>
    </row>
    <row r="28" spans="1:5" x14ac:dyDescent="0.3">
      <c r="A28" s="10">
        <v>31.72</v>
      </c>
      <c r="B28" s="10">
        <v>22.065999999999999</v>
      </c>
      <c r="C28" s="11">
        <v>15.977</v>
      </c>
      <c r="D28" s="11">
        <v>14.159000000000001</v>
      </c>
      <c r="E28" s="10">
        <v>20.38</v>
      </c>
    </row>
    <row r="29" spans="1:5" x14ac:dyDescent="0.3">
      <c r="A29" s="10">
        <v>35.31</v>
      </c>
      <c r="B29" s="10">
        <v>18.629000000000001</v>
      </c>
      <c r="C29" s="11">
        <v>18.484000000000002</v>
      </c>
      <c r="D29" s="11">
        <v>25.870999999999999</v>
      </c>
      <c r="E29" s="10">
        <v>15.834</v>
      </c>
    </row>
    <row r="30" spans="1:5" x14ac:dyDescent="0.3">
      <c r="A30" s="10">
        <v>33.08</v>
      </c>
      <c r="B30" s="10">
        <v>20.548999999999999</v>
      </c>
      <c r="C30" s="11">
        <v>34.103000000000002</v>
      </c>
      <c r="D30" s="11">
        <v>14.414999999999999</v>
      </c>
      <c r="E30" s="10">
        <v>18.670999999999999</v>
      </c>
    </row>
    <row r="31" spans="1:5" x14ac:dyDescent="0.3">
      <c r="A31" s="10">
        <v>32.92</v>
      </c>
      <c r="B31" s="10">
        <v>10.997999999999999</v>
      </c>
      <c r="C31" s="11">
        <v>23.678999999999998</v>
      </c>
      <c r="D31" s="11">
        <v>22.917000000000002</v>
      </c>
      <c r="E31" s="10">
        <v>12.673999999999999</v>
      </c>
    </row>
    <row r="32" spans="1:5" x14ac:dyDescent="0.3">
      <c r="A32" s="10">
        <v>28.31</v>
      </c>
      <c r="C32" s="11">
        <v>43.881</v>
      </c>
      <c r="D32" s="11">
        <v>17.577999999999999</v>
      </c>
      <c r="E32" s="10">
        <v>10.545999999999999</v>
      </c>
    </row>
    <row r="33" spans="1:5" x14ac:dyDescent="0.3">
      <c r="A33" s="10">
        <v>29.18</v>
      </c>
      <c r="C33" s="11">
        <v>36.722999999999999</v>
      </c>
      <c r="D33" s="11">
        <v>24.661999999999999</v>
      </c>
      <c r="E33" s="10">
        <v>17.600000000000001</v>
      </c>
    </row>
    <row r="34" spans="1:5" x14ac:dyDescent="0.3">
      <c r="A34" s="10">
        <v>20.63</v>
      </c>
      <c r="C34" s="11">
        <v>36.936</v>
      </c>
      <c r="D34" s="11">
        <v>22.010999999999999</v>
      </c>
      <c r="E34" s="10">
        <v>14.723000000000001</v>
      </c>
    </row>
    <row r="35" spans="1:5" x14ac:dyDescent="0.3">
      <c r="A35" s="10">
        <v>35.19</v>
      </c>
      <c r="C35" s="11">
        <v>32.090000000000003</v>
      </c>
      <c r="D35" s="11">
        <v>19.373999999999999</v>
      </c>
      <c r="E35" s="10">
        <v>14.52</v>
      </c>
    </row>
    <row r="36" spans="1:5" x14ac:dyDescent="0.3">
      <c r="A36" s="10">
        <v>25.55</v>
      </c>
      <c r="C36" s="11">
        <v>30.274000000000001</v>
      </c>
      <c r="D36" s="11">
        <v>19.855</v>
      </c>
      <c r="E36" s="10">
        <v>12.537000000000001</v>
      </c>
    </row>
    <row r="37" spans="1:5" x14ac:dyDescent="0.3">
      <c r="A37" s="10">
        <v>28.96</v>
      </c>
      <c r="C37" s="11">
        <v>35.445</v>
      </c>
      <c r="D37" s="11">
        <v>21.751000000000001</v>
      </c>
      <c r="E37" s="10">
        <v>20.635999999999999</v>
      </c>
    </row>
    <row r="38" spans="1:5" x14ac:dyDescent="0.3">
      <c r="A38" s="10">
        <v>35.76</v>
      </c>
      <c r="D38" s="11">
        <v>20.731000000000002</v>
      </c>
      <c r="E38" s="10">
        <v>14.747</v>
      </c>
    </row>
    <row r="39" spans="1:5" x14ac:dyDescent="0.3">
      <c r="A39" s="10">
        <v>35.83</v>
      </c>
      <c r="D39" s="11">
        <v>26.273</v>
      </c>
    </row>
    <row r="40" spans="1:5" x14ac:dyDescent="0.3">
      <c r="A40" s="10">
        <v>32.630000000000003</v>
      </c>
      <c r="D40" s="11">
        <v>14.429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234A-85F4-4E40-BFE2-AFB00593F938}">
  <dimension ref="A1:E32"/>
  <sheetViews>
    <sheetView workbookViewId="0">
      <selection activeCell="D2" sqref="D2"/>
    </sheetView>
  </sheetViews>
  <sheetFormatPr defaultRowHeight="14.4" x14ac:dyDescent="0.3"/>
  <sheetData>
    <row r="1" spans="1:5" x14ac:dyDescent="0.3">
      <c r="A1" t="s">
        <v>16</v>
      </c>
      <c r="B1" t="s">
        <v>17</v>
      </c>
      <c r="C1" t="s">
        <v>19</v>
      </c>
      <c r="D1" t="s">
        <v>18</v>
      </c>
      <c r="E1" t="s">
        <v>20</v>
      </c>
    </row>
    <row r="2" spans="1:5" x14ac:dyDescent="0.3">
      <c r="A2">
        <v>25.300287714369873</v>
      </c>
      <c r="B2">
        <v>-3.8764414036836339</v>
      </c>
      <c r="C2">
        <v>29.472146077343087</v>
      </c>
      <c r="D2">
        <v>5.7089780476201417</v>
      </c>
      <c r="E2">
        <v>0</v>
      </c>
    </row>
    <row r="3" spans="1:5" x14ac:dyDescent="0.3">
      <c r="A3">
        <v>-24.407240434063556</v>
      </c>
      <c r="B3">
        <v>-22.77791622301261</v>
      </c>
      <c r="C3">
        <v>-34.964998527446134</v>
      </c>
      <c r="D3">
        <v>51.113250719285951</v>
      </c>
      <c r="E3">
        <v>0</v>
      </c>
    </row>
    <row r="4" spans="1:5" x14ac:dyDescent="0.3">
      <c r="A4">
        <v>-33.348814027774623</v>
      </c>
      <c r="B4">
        <v>-32.527582066559432</v>
      </c>
      <c r="C4">
        <v>1.9904397272377254</v>
      </c>
      <c r="D4">
        <v>42.257085249541255</v>
      </c>
      <c r="E4">
        <v>0</v>
      </c>
    </row>
    <row r="5" spans="1:5" x14ac:dyDescent="0.3">
      <c r="A5">
        <v>-20.839808794544744</v>
      </c>
      <c r="B5">
        <v>3.448947690355924</v>
      </c>
      <c r="C5">
        <v>35.141931537572802</v>
      </c>
      <c r="D5">
        <v>-11.267529054620407</v>
      </c>
      <c r="E5">
        <v>0</v>
      </c>
    </row>
    <row r="6" spans="1:5" x14ac:dyDescent="0.3">
      <c r="A6">
        <v>28.598355270610121</v>
      </c>
      <c r="B6">
        <v>-24.019618948369988</v>
      </c>
      <c r="C6">
        <v>28.782311229922314</v>
      </c>
      <c r="D6">
        <v>66.486713033234452</v>
      </c>
      <c r="E6">
        <v>0</v>
      </c>
    </row>
    <row r="7" spans="1:5" x14ac:dyDescent="0.3">
      <c r="A7">
        <v>111.98296368455634</v>
      </c>
      <c r="B7">
        <v>255.53431050497278</v>
      </c>
      <c r="C7">
        <v>105.45909698466281</v>
      </c>
      <c r="D7">
        <v>-10.794499444960458</v>
      </c>
      <c r="E7">
        <v>0</v>
      </c>
    </row>
    <row r="8" spans="1:5" x14ac:dyDescent="0.3">
      <c r="A8">
        <v>21.443782424503311</v>
      </c>
      <c r="B8">
        <v>136.40311728325142</v>
      </c>
      <c r="C8">
        <v>-46.751319634806634</v>
      </c>
      <c r="D8">
        <v>65.343558143222893</v>
      </c>
      <c r="E8">
        <v>0</v>
      </c>
    </row>
    <row r="9" spans="1:5" x14ac:dyDescent="0.3">
      <c r="A9">
        <v>15.931673500826918</v>
      </c>
      <c r="B9">
        <v>31.443102784259562</v>
      </c>
      <c r="C9">
        <v>-3.0749190095376027</v>
      </c>
      <c r="D9">
        <v>20.806506422600332</v>
      </c>
      <c r="E9">
        <v>0</v>
      </c>
    </row>
    <row r="10" spans="1:5" x14ac:dyDescent="0.3">
      <c r="A10">
        <v>30.083142656487187</v>
      </c>
      <c r="B10">
        <v>-1.3601866745202764</v>
      </c>
      <c r="C10">
        <v>23.644684080560044</v>
      </c>
      <c r="D10">
        <v>147.01343422215177</v>
      </c>
      <c r="E10">
        <v>0</v>
      </c>
    </row>
    <row r="11" spans="1:5" x14ac:dyDescent="0.3">
      <c r="A11">
        <v>-36.344668222287659</v>
      </c>
      <c r="B11">
        <v>34.110464194286507</v>
      </c>
      <c r="C11">
        <v>-5.0327360050746321</v>
      </c>
      <c r="D11">
        <v>63.871910468725254</v>
      </c>
      <c r="E11">
        <v>0</v>
      </c>
    </row>
    <row r="12" spans="1:5" x14ac:dyDescent="0.3">
      <c r="A12">
        <v>-31.640651548447018</v>
      </c>
      <c r="B12">
        <v>2.1021272739630001</v>
      </c>
      <c r="C12">
        <v>-6.7934573299200194</v>
      </c>
      <c r="D12">
        <v>-5.433497202147648</v>
      </c>
      <c r="E12">
        <v>0</v>
      </c>
    </row>
    <row r="13" spans="1:5" x14ac:dyDescent="0.3">
      <c r="A13">
        <v>34.642622505153959</v>
      </c>
      <c r="B13">
        <v>2.430620058449072</v>
      </c>
      <c r="C13">
        <v>-26.831517183570814</v>
      </c>
      <c r="D13">
        <v>-20.156543802813694</v>
      </c>
      <c r="E13">
        <v>0</v>
      </c>
    </row>
    <row r="14" spans="1:5" x14ac:dyDescent="0.3">
      <c r="A14">
        <v>34.642622505153959</v>
      </c>
      <c r="B14">
        <v>-3.2063161233320314</v>
      </c>
      <c r="C14">
        <v>-12.404114088942238</v>
      </c>
      <c r="D14">
        <v>-14.966357807933656</v>
      </c>
      <c r="E14">
        <v>0</v>
      </c>
    </row>
    <row r="15" spans="1:5" x14ac:dyDescent="0.3">
      <c r="A15">
        <v>-5.1312838404204593</v>
      </c>
      <c r="B15">
        <v>-19.440429532634042</v>
      </c>
      <c r="C15">
        <v>14.46659568201899</v>
      </c>
      <c r="D15">
        <v>-14.966357807933656</v>
      </c>
      <c r="E15">
        <v>0</v>
      </c>
    </row>
    <row r="16" spans="1:5" x14ac:dyDescent="0.3">
      <c r="A16">
        <v>-5.1312838404204593</v>
      </c>
      <c r="B16">
        <v>35.76606782809634</v>
      </c>
      <c r="C16">
        <v>-35.569425250900508</v>
      </c>
      <c r="D16">
        <v>209.20368818105621</v>
      </c>
      <c r="E16">
        <v>0</v>
      </c>
    </row>
    <row r="17" spans="1:5" x14ac:dyDescent="0.3">
      <c r="A17">
        <v>-1.5704220565913671</v>
      </c>
      <c r="C17">
        <v>-4.48743798282774</v>
      </c>
      <c r="D17">
        <v>56.973561994517596</v>
      </c>
      <c r="E17">
        <v>0</v>
      </c>
    </row>
    <row r="18" spans="1:5" x14ac:dyDescent="0.3">
      <c r="A18">
        <v>8.0872658072993637</v>
      </c>
      <c r="C18">
        <v>3.0350467819034601</v>
      </c>
      <c r="D18">
        <v>85.572143811875605</v>
      </c>
      <c r="E18">
        <v>0</v>
      </c>
    </row>
    <row r="19" spans="1:5" x14ac:dyDescent="0.3">
      <c r="A19">
        <v>-21.700459889898273</v>
      </c>
      <c r="C19">
        <v>-62.256179062549542</v>
      </c>
      <c r="D19">
        <v>60.113953014204505</v>
      </c>
      <c r="E19">
        <v>0</v>
      </c>
    </row>
    <row r="20" spans="1:5" x14ac:dyDescent="0.3">
      <c r="A20">
        <v>119.38062119118284</v>
      </c>
      <c r="C20">
        <v>-7.4175936204435606</v>
      </c>
      <c r="D20">
        <v>88.916200357943893</v>
      </c>
      <c r="E20">
        <v>0</v>
      </c>
    </row>
    <row r="21" spans="1:5" x14ac:dyDescent="0.3">
      <c r="A21">
        <v>133.7620352959834</v>
      </c>
      <c r="C21">
        <v>-22.810765501461212</v>
      </c>
      <c r="D21">
        <v>47.55895879114658</v>
      </c>
      <c r="E21">
        <v>0</v>
      </c>
    </row>
    <row r="22" spans="1:5" x14ac:dyDescent="0.3">
      <c r="A22">
        <v>66.171359960127802</v>
      </c>
      <c r="C22">
        <v>-6.7146190616433561</v>
      </c>
      <c r="D22">
        <v>-32.934913119322161</v>
      </c>
      <c r="E22">
        <v>0</v>
      </c>
    </row>
    <row r="23" spans="1:5" x14ac:dyDescent="0.3">
      <c r="A23">
        <v>83.390951722888047</v>
      </c>
      <c r="C23">
        <v>-17.186969031059544</v>
      </c>
      <c r="D23">
        <v>47.552388935456854</v>
      </c>
      <c r="E23">
        <v>0</v>
      </c>
    </row>
    <row r="24" spans="1:5" x14ac:dyDescent="0.3">
      <c r="A24">
        <v>52.446931424299436</v>
      </c>
      <c r="C24">
        <v>-28.782764323418125</v>
      </c>
      <c r="D24">
        <v>-20.839808794544744</v>
      </c>
      <c r="E24">
        <v>0</v>
      </c>
    </row>
    <row r="25" spans="1:5" x14ac:dyDescent="0.3">
      <c r="A25">
        <v>-24.781722208377687</v>
      </c>
      <c r="C25">
        <v>15.550621870823067</v>
      </c>
      <c r="D25">
        <v>-11.779977798418685</v>
      </c>
      <c r="E25">
        <v>0</v>
      </c>
    </row>
    <row r="26" spans="1:5" x14ac:dyDescent="0.3">
      <c r="A26">
        <v>0.43995378446344102</v>
      </c>
      <c r="C26">
        <v>-46.2848598808364</v>
      </c>
      <c r="D26">
        <v>-31.732629528103111</v>
      </c>
      <c r="E26">
        <v>0</v>
      </c>
    </row>
    <row r="27" spans="1:5" x14ac:dyDescent="0.3">
      <c r="A27">
        <v>61.506762420425467</v>
      </c>
      <c r="C27">
        <v>142.1780204345167</v>
      </c>
      <c r="E27">
        <v>0</v>
      </c>
    </row>
    <row r="28" spans="1:5" x14ac:dyDescent="0.3">
      <c r="C28">
        <v>142.1780204345167</v>
      </c>
    </row>
    <row r="29" spans="1:5" x14ac:dyDescent="0.3">
      <c r="C29">
        <v>109.38130083142661</v>
      </c>
    </row>
    <row r="30" spans="1:5" x14ac:dyDescent="0.3">
      <c r="C30">
        <v>-45.03001744409957</v>
      </c>
    </row>
    <row r="31" spans="1:5" x14ac:dyDescent="0.3">
      <c r="C31">
        <v>-38.263066083686361</v>
      </c>
    </row>
    <row r="32" spans="1:5" x14ac:dyDescent="0.3">
      <c r="C32">
        <v>-32.980902109150215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C1DF-0274-4533-BA6B-5418E610D3B2}">
  <dimension ref="A1:E32"/>
  <sheetViews>
    <sheetView workbookViewId="0">
      <selection sqref="A1:E1048576"/>
    </sheetView>
  </sheetViews>
  <sheetFormatPr defaultRowHeight="14.4" x14ac:dyDescent="0.3"/>
  <sheetData>
    <row r="1" spans="1:5" x14ac:dyDescent="0.3">
      <c r="A1" t="s">
        <v>16</v>
      </c>
      <c r="B1" t="s">
        <v>17</v>
      </c>
      <c r="C1" t="s">
        <v>19</v>
      </c>
      <c r="D1" t="s">
        <v>18</v>
      </c>
      <c r="E1" t="s">
        <v>20</v>
      </c>
    </row>
    <row r="2" spans="1:5" x14ac:dyDescent="0.3">
      <c r="A2" s="4">
        <v>19.071999999999999</v>
      </c>
      <c r="B2" s="4">
        <v>14.631</v>
      </c>
      <c r="C2" s="4">
        <v>19.707000000000001</v>
      </c>
      <c r="D2" s="4">
        <v>16.09</v>
      </c>
      <c r="E2" s="4">
        <v>15.32</v>
      </c>
    </row>
    <row r="3" spans="1:5" x14ac:dyDescent="0.3">
      <c r="A3" s="4">
        <v>11.506</v>
      </c>
      <c r="B3" s="4">
        <v>11.754</v>
      </c>
      <c r="C3" s="4">
        <v>9.8989999999999991</v>
      </c>
      <c r="D3" s="4">
        <v>23.001000000000001</v>
      </c>
      <c r="E3" s="4">
        <v>8.4079999999999995</v>
      </c>
    </row>
    <row r="4" spans="1:5" x14ac:dyDescent="0.3">
      <c r="A4" s="4">
        <v>10.145</v>
      </c>
      <c r="B4" s="4">
        <v>10.27</v>
      </c>
      <c r="C4" s="4">
        <v>15.523999999999999</v>
      </c>
      <c r="D4" s="4">
        <v>21.652999999999999</v>
      </c>
      <c r="E4" s="4">
        <v>15.923999999999999</v>
      </c>
    </row>
    <row r="5" spans="1:5" x14ac:dyDescent="0.3">
      <c r="A5" s="4">
        <v>12.048999999999999</v>
      </c>
      <c r="B5" s="4">
        <v>15.746</v>
      </c>
      <c r="C5" s="4">
        <v>20.57</v>
      </c>
      <c r="D5" s="4">
        <v>13.506</v>
      </c>
      <c r="E5" s="4">
        <v>13.332000000000001</v>
      </c>
    </row>
    <row r="6" spans="1:5" x14ac:dyDescent="0.3">
      <c r="A6" s="4">
        <v>19.574000000000002</v>
      </c>
      <c r="B6" s="4">
        <v>11.565</v>
      </c>
      <c r="C6" s="4">
        <v>19.602</v>
      </c>
      <c r="D6" s="4">
        <v>25.341000000000001</v>
      </c>
      <c r="E6" s="4">
        <v>9.1199999999999992</v>
      </c>
    </row>
    <row r="7" spans="1:5" x14ac:dyDescent="0.3">
      <c r="A7" s="4">
        <v>32.265999999999998</v>
      </c>
      <c r="B7" s="4">
        <v>54.116</v>
      </c>
      <c r="C7" s="4">
        <v>31.273</v>
      </c>
      <c r="D7" s="4">
        <v>13.577999999999999</v>
      </c>
      <c r="E7" s="4">
        <v>15.513999999999999</v>
      </c>
    </row>
    <row r="8" spans="1:5" x14ac:dyDescent="0.3">
      <c r="A8" s="4">
        <v>18.484999999999999</v>
      </c>
      <c r="B8" s="4">
        <v>35.982999999999997</v>
      </c>
      <c r="C8" s="4">
        <v>8.1050000000000004</v>
      </c>
      <c r="D8" s="4">
        <v>25.167000000000002</v>
      </c>
      <c r="E8" s="4">
        <v>16.684000000000001</v>
      </c>
    </row>
    <row r="9" spans="1:5" x14ac:dyDescent="0.3">
      <c r="A9" s="4">
        <v>17.646000000000001</v>
      </c>
      <c r="B9" s="4">
        <v>20.007000000000001</v>
      </c>
      <c r="C9" s="4">
        <v>14.753</v>
      </c>
      <c r="D9" s="4">
        <v>18.388000000000002</v>
      </c>
      <c r="E9" s="4">
        <v>12.279</v>
      </c>
    </row>
    <row r="10" spans="1:5" x14ac:dyDescent="0.3">
      <c r="A10" s="4">
        <v>19.8</v>
      </c>
      <c r="B10" s="4">
        <v>15.013999999999999</v>
      </c>
      <c r="C10" s="4">
        <v>18.82</v>
      </c>
      <c r="D10" s="4">
        <v>37.597999999999999</v>
      </c>
      <c r="E10" s="4">
        <v>29.864000000000001</v>
      </c>
    </row>
    <row r="11" spans="1:5" x14ac:dyDescent="0.3">
      <c r="A11" s="4">
        <v>9.6890000000000001</v>
      </c>
      <c r="B11" s="4">
        <v>20.413</v>
      </c>
      <c r="C11" s="4">
        <v>14.455</v>
      </c>
      <c r="D11" s="4">
        <v>24.943000000000001</v>
      </c>
      <c r="E11" s="4">
        <v>10.195</v>
      </c>
    </row>
    <row r="12" spans="1:5" x14ac:dyDescent="0.3">
      <c r="A12" s="4">
        <v>10.404999999999999</v>
      </c>
      <c r="B12" s="4">
        <v>15.541</v>
      </c>
      <c r="C12" s="4">
        <v>14.186999999999999</v>
      </c>
      <c r="D12" s="4">
        <v>14.394</v>
      </c>
      <c r="E12" s="4">
        <v>13.483000000000001</v>
      </c>
    </row>
    <row r="13" spans="1:5" x14ac:dyDescent="0.3">
      <c r="A13" s="4">
        <v>20.494</v>
      </c>
      <c r="B13" s="4">
        <v>15.590999999999999</v>
      </c>
      <c r="C13" s="4">
        <v>11.137</v>
      </c>
      <c r="D13" s="4">
        <v>12.153</v>
      </c>
      <c r="E13" s="4">
        <v>13.401999999999999</v>
      </c>
    </row>
    <row r="14" spans="1:5" x14ac:dyDescent="0.3">
      <c r="A14" s="4">
        <v>20.494</v>
      </c>
      <c r="B14" s="4">
        <v>14.733000000000001</v>
      </c>
      <c r="C14" s="4">
        <v>13.333</v>
      </c>
      <c r="D14" s="4">
        <v>12.943</v>
      </c>
      <c r="E14" s="4">
        <v>13.401999999999999</v>
      </c>
    </row>
    <row r="15" spans="1:5" x14ac:dyDescent="0.3">
      <c r="A15" s="4">
        <v>14.44</v>
      </c>
      <c r="B15" s="4">
        <v>12.262</v>
      </c>
      <c r="C15" s="4">
        <v>17.422999999999998</v>
      </c>
      <c r="D15" s="4">
        <v>12.943</v>
      </c>
      <c r="E15" s="4">
        <v>14.760999999999999</v>
      </c>
    </row>
    <row r="16" spans="1:5" x14ac:dyDescent="0.3">
      <c r="A16" s="4">
        <v>14.44</v>
      </c>
      <c r="B16" s="4">
        <v>20.664999999999999</v>
      </c>
      <c r="C16" s="4">
        <v>9.8070000000000004</v>
      </c>
      <c r="D16" s="4">
        <v>47.064</v>
      </c>
      <c r="E16" s="4">
        <v>16.170000000000002</v>
      </c>
    </row>
    <row r="17" spans="1:5" x14ac:dyDescent="0.3">
      <c r="A17" s="4">
        <v>14.981999999999999</v>
      </c>
      <c r="C17" s="4">
        <v>14.538</v>
      </c>
      <c r="D17" s="4">
        <v>23.893000000000001</v>
      </c>
      <c r="E17" s="4">
        <v>15.057</v>
      </c>
    </row>
    <row r="18" spans="1:5" x14ac:dyDescent="0.3">
      <c r="A18" s="4">
        <v>16.452000000000002</v>
      </c>
      <c r="C18" s="4">
        <v>15.683</v>
      </c>
      <c r="D18" s="4">
        <v>28.245999999999999</v>
      </c>
      <c r="E18" s="4">
        <v>13.569000000000001</v>
      </c>
    </row>
    <row r="19" spans="1:5" x14ac:dyDescent="0.3">
      <c r="A19" s="4">
        <v>11.917999999999999</v>
      </c>
      <c r="C19" s="4">
        <v>5.7450000000000001</v>
      </c>
      <c r="D19" s="4">
        <v>24.370999999999999</v>
      </c>
      <c r="E19" s="4">
        <v>11.29</v>
      </c>
    </row>
    <row r="20" spans="1:5" x14ac:dyDescent="0.3">
      <c r="A20" s="4">
        <v>33.392000000000003</v>
      </c>
      <c r="C20" s="4">
        <v>14.092000000000001</v>
      </c>
      <c r="D20" s="4">
        <v>28.754999999999999</v>
      </c>
      <c r="E20" s="4">
        <v>11.593999999999999</v>
      </c>
    </row>
    <row r="21" spans="1:5" x14ac:dyDescent="0.3">
      <c r="A21" s="4">
        <v>35.581000000000003</v>
      </c>
      <c r="C21" s="4">
        <v>11.749000000000001</v>
      </c>
      <c r="D21" s="4">
        <v>22.46</v>
      </c>
      <c r="E21" s="4">
        <v>16.213999999999999</v>
      </c>
    </row>
    <row r="22" spans="1:5" x14ac:dyDescent="0.3">
      <c r="A22" s="4">
        <v>25.292999999999999</v>
      </c>
      <c r="C22" s="4">
        <v>14.199</v>
      </c>
      <c r="D22" s="4">
        <v>10.208</v>
      </c>
      <c r="E22" s="4">
        <v>14.161</v>
      </c>
    </row>
    <row r="23" spans="1:5" x14ac:dyDescent="0.3">
      <c r="A23" s="4">
        <v>27.914000000000001</v>
      </c>
      <c r="C23" s="4">
        <v>12.605</v>
      </c>
      <c r="D23" s="4">
        <v>22.459</v>
      </c>
      <c r="E23" s="4">
        <v>12.244999999999999</v>
      </c>
    </row>
    <row r="24" spans="1:5" x14ac:dyDescent="0.3">
      <c r="A24" s="4">
        <v>23.204000000000001</v>
      </c>
      <c r="C24" s="4">
        <v>10.84</v>
      </c>
      <c r="D24" s="4">
        <v>12.048999999999999</v>
      </c>
      <c r="E24" s="4">
        <v>10.237</v>
      </c>
    </row>
    <row r="25" spans="1:5" x14ac:dyDescent="0.3">
      <c r="A25" s="4">
        <v>11.449</v>
      </c>
      <c r="C25" s="4">
        <v>17.588000000000001</v>
      </c>
      <c r="D25" s="4">
        <v>13.428000000000001</v>
      </c>
      <c r="E25" s="4">
        <v>38.091000000000001</v>
      </c>
    </row>
    <row r="26" spans="1:5" x14ac:dyDescent="0.3">
      <c r="A26" s="4">
        <v>15.288</v>
      </c>
      <c r="C26" s="4">
        <v>8.1760000000000002</v>
      </c>
      <c r="D26" s="4">
        <v>10.391</v>
      </c>
      <c r="E26" s="4">
        <v>13.321999999999999</v>
      </c>
    </row>
    <row r="27" spans="1:5" x14ac:dyDescent="0.3">
      <c r="A27" s="4">
        <v>24.582999999999998</v>
      </c>
      <c r="C27" s="4">
        <v>36.862000000000002</v>
      </c>
      <c r="E27" s="4">
        <v>27.344999999999999</v>
      </c>
    </row>
    <row r="28" spans="1:5" x14ac:dyDescent="0.3">
      <c r="C28" s="4">
        <v>36.862000000000002</v>
      </c>
      <c r="E28" s="4">
        <v>7.6260000000000003</v>
      </c>
    </row>
    <row r="29" spans="1:5" x14ac:dyDescent="0.3">
      <c r="C29" s="4">
        <v>31.87</v>
      </c>
      <c r="E29" s="4">
        <v>8.1219999999999999</v>
      </c>
    </row>
    <row r="30" spans="1:5" x14ac:dyDescent="0.3">
      <c r="C30" s="4">
        <v>8.3670000000000009</v>
      </c>
      <c r="E30" s="4">
        <v>24.678999999999998</v>
      </c>
    </row>
    <row r="31" spans="1:5" x14ac:dyDescent="0.3">
      <c r="C31" s="4">
        <v>9.3970000000000002</v>
      </c>
    </row>
    <row r="32" spans="1:5" x14ac:dyDescent="0.3">
      <c r="C32" s="4">
        <v>10.201000000000001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6A85-641A-41B6-A5E1-85436BE5A802}">
  <dimension ref="A1:E40"/>
  <sheetViews>
    <sheetView workbookViewId="0">
      <selection activeCell="D2" sqref="D2"/>
    </sheetView>
  </sheetViews>
  <sheetFormatPr defaultRowHeight="14.4" x14ac:dyDescent="0.3"/>
  <cols>
    <col min="4" max="4" width="13.44140625" bestFit="1" customWidth="1"/>
    <col min="5" max="5" width="10.109375" bestFit="1" customWidth="1"/>
  </cols>
  <sheetData>
    <row r="1" spans="1:5" x14ac:dyDescent="0.3">
      <c r="A1" t="s">
        <v>16</v>
      </c>
      <c r="B1" t="s">
        <v>17</v>
      </c>
      <c r="C1" t="s">
        <v>19</v>
      </c>
      <c r="D1" t="s">
        <v>18</v>
      </c>
      <c r="E1" t="s">
        <v>8</v>
      </c>
    </row>
    <row r="2" spans="1:5" x14ac:dyDescent="0.3">
      <c r="A2">
        <v>120.55340772397179</v>
      </c>
      <c r="B2">
        <v>-24.138886356771202</v>
      </c>
      <c r="C2">
        <v>95.647736554901982</v>
      </c>
      <c r="D2">
        <v>120.92375227667169</v>
      </c>
    </row>
    <row r="3" spans="1:5" x14ac:dyDescent="0.3">
      <c r="A3">
        <v>72.67314769633893</v>
      </c>
      <c r="B3">
        <v>-19.893150591889952</v>
      </c>
      <c r="C3">
        <v>89.616410982360392</v>
      </c>
      <c r="D3">
        <v>73.433676688490564</v>
      </c>
    </row>
    <row r="4" spans="1:5" x14ac:dyDescent="0.3">
      <c r="A4">
        <v>164.06889266621269</v>
      </c>
      <c r="B4">
        <v>-9.1862250415118325</v>
      </c>
      <c r="C4">
        <v>72.48797541998897</v>
      </c>
      <c r="D4">
        <v>70.140255487694816</v>
      </c>
    </row>
    <row r="5" spans="1:5" x14ac:dyDescent="0.3">
      <c r="A5">
        <v>145.41939911953801</v>
      </c>
      <c r="B5">
        <v>-11.276026446032818</v>
      </c>
      <c r="C5">
        <v>53.362324591271545</v>
      </c>
      <c r="D5">
        <v>67.270085204270416</v>
      </c>
    </row>
    <row r="6" spans="1:5" x14ac:dyDescent="0.3">
      <c r="A6">
        <v>156.26520387717861</v>
      </c>
      <c r="B6">
        <v>17.068558426679129</v>
      </c>
      <c r="C6">
        <v>68.096747152261301</v>
      </c>
      <c r="D6">
        <v>24.548195732100758</v>
      </c>
    </row>
    <row r="7" spans="1:5" x14ac:dyDescent="0.3">
      <c r="A7">
        <v>214.46220501573782</v>
      </c>
      <c r="B7">
        <v>-17.697536458026121</v>
      </c>
      <c r="C7">
        <v>1.3355282325163345</v>
      </c>
      <c r="D7">
        <v>38.330303729005045</v>
      </c>
    </row>
    <row r="8" spans="1:5" x14ac:dyDescent="0.3">
      <c r="A8">
        <v>138.07864102137884</v>
      </c>
      <c r="B8">
        <v>-36.148631137182988</v>
      </c>
      <c r="C8">
        <v>72.236670187799731</v>
      </c>
      <c r="D8">
        <v>104.48971275061263</v>
      </c>
    </row>
    <row r="9" spans="1:5" x14ac:dyDescent="0.3">
      <c r="A9">
        <v>138.07864102137884</v>
      </c>
      <c r="B9">
        <v>-47.609472384128807</v>
      </c>
      <c r="C9">
        <v>78.142343144246723</v>
      </c>
      <c r="D9">
        <v>122.16705184645002</v>
      </c>
    </row>
    <row r="10" spans="1:5" x14ac:dyDescent="0.3">
      <c r="A10">
        <v>101.77164826561858</v>
      </c>
      <c r="B10">
        <v>-39.944662802357186</v>
      </c>
      <c r="C10">
        <v>43.16462280085581</v>
      </c>
      <c r="D10">
        <v>106.93001882108177</v>
      </c>
    </row>
    <row r="11" spans="1:5" x14ac:dyDescent="0.3">
      <c r="A11">
        <v>108.45107680538501</v>
      </c>
      <c r="B11">
        <v>25.474057113850566</v>
      </c>
      <c r="C11">
        <v>45.274264092128575</v>
      </c>
      <c r="D11">
        <v>109.15869943286522</v>
      </c>
    </row>
    <row r="12" spans="1:5" x14ac:dyDescent="0.3">
      <c r="A12">
        <v>92.182369668924139</v>
      </c>
      <c r="B12">
        <v>5.8061160472511153</v>
      </c>
      <c r="C12">
        <v>-0.25827600321011612</v>
      </c>
      <c r="D12">
        <v>120.77164647824139</v>
      </c>
    </row>
    <row r="13" spans="1:5" x14ac:dyDescent="0.3">
      <c r="A13">
        <v>89.272519611996188</v>
      </c>
      <c r="B13">
        <v>42.668625632061271</v>
      </c>
      <c r="C13">
        <v>4.9331610301727284</v>
      </c>
      <c r="D13">
        <v>122.84822129159454</v>
      </c>
    </row>
    <row r="14" spans="1:5" x14ac:dyDescent="0.3">
      <c r="A14">
        <v>87.949860495210757</v>
      </c>
      <c r="B14">
        <v>-14.146196729457225</v>
      </c>
      <c r="C14">
        <v>39.156965676995945</v>
      </c>
      <c r="D14">
        <v>113.17296985230905</v>
      </c>
    </row>
    <row r="15" spans="1:5" x14ac:dyDescent="0.3">
      <c r="A15">
        <v>100.64738801635093</v>
      </c>
      <c r="B15">
        <v>9.5029482786664108</v>
      </c>
      <c r="C15">
        <v>70.636252656489347</v>
      </c>
      <c r="D15">
        <v>177.44097633691348</v>
      </c>
    </row>
    <row r="16" spans="1:5" x14ac:dyDescent="0.3">
      <c r="A16">
        <v>149.78417420492997</v>
      </c>
      <c r="B16">
        <v>-27.438920853150872</v>
      </c>
      <c r="C16">
        <v>97.93593682694079</v>
      </c>
      <c r="D16">
        <v>176.40930222582082</v>
      </c>
    </row>
    <row r="17" spans="1:4" x14ac:dyDescent="0.3">
      <c r="A17">
        <v>69.829430595250244</v>
      </c>
      <c r="B17">
        <v>-17.750442822697543</v>
      </c>
      <c r="C17">
        <v>38.641128621449603</v>
      </c>
      <c r="D17">
        <v>67.567683505547151</v>
      </c>
    </row>
    <row r="18" spans="1:4" x14ac:dyDescent="0.3">
      <c r="A18">
        <v>8.9209782672808124</v>
      </c>
      <c r="B18">
        <v>-2.9565006014524178</v>
      </c>
      <c r="C18">
        <v>38.641128621449603</v>
      </c>
      <c r="D18">
        <v>33.952302052445226</v>
      </c>
    </row>
    <row r="19" spans="1:4" x14ac:dyDescent="0.3">
      <c r="A19">
        <v>90.991976463817238</v>
      </c>
      <c r="B19">
        <v>49.923410887629409</v>
      </c>
      <c r="C19">
        <v>43.31672859928613</v>
      </c>
      <c r="D19">
        <v>113.39120860657866</v>
      </c>
    </row>
    <row r="20" spans="1:4" x14ac:dyDescent="0.3">
      <c r="A20">
        <v>109.31080523129555</v>
      </c>
      <c r="B20">
        <v>-17.01636701288162</v>
      </c>
      <c r="C20">
        <v>44.262429867787723</v>
      </c>
      <c r="D20">
        <v>126.69715932144017</v>
      </c>
    </row>
    <row r="21" spans="1:4" x14ac:dyDescent="0.3">
      <c r="A21">
        <v>58.851359925931099</v>
      </c>
      <c r="B21">
        <v>-5.1256615529805325</v>
      </c>
      <c r="C21">
        <v>11.639042752274895</v>
      </c>
      <c r="D21">
        <v>132.66896523372642</v>
      </c>
    </row>
    <row r="22" spans="1:4" x14ac:dyDescent="0.3">
      <c r="A22">
        <v>62.422539541251773</v>
      </c>
      <c r="B22">
        <v>-14.675260376171401</v>
      </c>
      <c r="C22">
        <v>89.642864164696093</v>
      </c>
      <c r="D22">
        <v>62.085261466471501</v>
      </c>
    </row>
    <row r="23" spans="1:4" x14ac:dyDescent="0.3">
      <c r="A23">
        <v>120.0904770330969</v>
      </c>
      <c r="B23">
        <v>1.891045061566216</v>
      </c>
      <c r="C23">
        <v>28.760865019062383</v>
      </c>
      <c r="D23">
        <v>44.487281917641241</v>
      </c>
    </row>
    <row r="24" spans="1:4" x14ac:dyDescent="0.3">
      <c r="A24">
        <v>97.274607268548067</v>
      </c>
      <c r="B24">
        <v>4.9199344390048703</v>
      </c>
      <c r="C24">
        <v>17.419063092627251</v>
      </c>
      <c r="D24">
        <v>80.893474107160429</v>
      </c>
    </row>
    <row r="25" spans="1:4" x14ac:dyDescent="0.3">
      <c r="A25">
        <v>71.681153358749867</v>
      </c>
      <c r="B25">
        <v>-26.949536979940262</v>
      </c>
      <c r="C25">
        <v>8.0810897281220644</v>
      </c>
      <c r="D25">
        <v>33.178546469125763</v>
      </c>
    </row>
    <row r="26" spans="1:4" x14ac:dyDescent="0.3">
      <c r="A26">
        <v>97.142341356869522</v>
      </c>
      <c r="B26">
        <v>-24.60843034323003</v>
      </c>
      <c r="C26">
        <v>-21.083543796996842</v>
      </c>
      <c r="D26">
        <v>120.54679442838783</v>
      </c>
    </row>
    <row r="27" spans="1:4" x14ac:dyDescent="0.3">
      <c r="A27">
        <v>121.54540206156086</v>
      </c>
      <c r="B27">
        <v>3.74938112064976</v>
      </c>
      <c r="C27">
        <v>-3.3070052674005526</v>
      </c>
      <c r="D27">
        <v>162.57428786424515</v>
      </c>
    </row>
    <row r="28" spans="1:4" x14ac:dyDescent="0.3">
      <c r="A28">
        <v>109.77373592217046</v>
      </c>
      <c r="B28">
        <v>45.928980354937366</v>
      </c>
      <c r="C28">
        <v>-6.3623478271749132</v>
      </c>
      <c r="D28">
        <v>5.6606235444047162</v>
      </c>
    </row>
    <row r="29" spans="1:4" x14ac:dyDescent="0.3">
      <c r="A29">
        <v>133.51546706846909</v>
      </c>
      <c r="B29">
        <v>23.199083432979631</v>
      </c>
      <c r="C29">
        <v>71.092570051780328</v>
      </c>
      <c r="D29">
        <v>22.24015557331019</v>
      </c>
    </row>
    <row r="30" spans="1:4" x14ac:dyDescent="0.3">
      <c r="A30">
        <v>118.76781791631143</v>
      </c>
      <c r="B30">
        <v>35.896610954119822</v>
      </c>
      <c r="C30">
        <v>-4.6693441576895625</v>
      </c>
      <c r="D30">
        <v>125.53321929866897</v>
      </c>
    </row>
    <row r="31" spans="1:4" x14ac:dyDescent="0.3">
      <c r="A31">
        <v>117.7096906228831</v>
      </c>
      <c r="B31">
        <v>-27.26697516796877</v>
      </c>
      <c r="C31">
        <v>51.556894896859419</v>
      </c>
      <c r="D31">
        <v>56.596226131811925</v>
      </c>
    </row>
    <row r="32" spans="1:4" x14ac:dyDescent="0.3">
      <c r="A32">
        <v>87.222397980978741</v>
      </c>
      <c r="C32">
        <v>16.24850977427214</v>
      </c>
      <c r="D32">
        <v>190.19802351830904</v>
      </c>
    </row>
    <row r="33" spans="1:4" x14ac:dyDescent="0.3">
      <c r="A33">
        <v>92.975965138995392</v>
      </c>
      <c r="C33">
        <v>63.097095690812353</v>
      </c>
      <c r="D33">
        <v>142.8600537285582</v>
      </c>
    </row>
    <row r="34" spans="1:4" x14ac:dyDescent="0.3">
      <c r="A34">
        <v>36.432287896417918</v>
      </c>
      <c r="C34">
        <v>45.565249097821372</v>
      </c>
      <c r="D34">
        <v>144.26868568793469</v>
      </c>
    </row>
    <row r="35" spans="1:4" x14ac:dyDescent="0.3">
      <c r="A35">
        <v>132.7218715983978</v>
      </c>
      <c r="C35">
        <v>28.125988643005371</v>
      </c>
      <c r="D35">
        <v>112.22065528822355</v>
      </c>
    </row>
    <row r="36" spans="1:4" x14ac:dyDescent="0.3">
      <c r="A36">
        <v>68.969702169339712</v>
      </c>
      <c r="C36">
        <v>31.306983818874361</v>
      </c>
      <c r="D36">
        <v>100.21091050781175</v>
      </c>
    </row>
    <row r="37" spans="1:4" x14ac:dyDescent="0.3">
      <c r="A37">
        <v>91.52104011053143</v>
      </c>
      <c r="C37">
        <v>43.845792246000315</v>
      </c>
      <c r="D37">
        <v>134.40826197229924</v>
      </c>
    </row>
    <row r="38" spans="1:4" x14ac:dyDescent="0.3">
      <c r="A38">
        <v>136.49145008123631</v>
      </c>
      <c r="C38">
        <v>37.100230750394587</v>
      </c>
    </row>
    <row r="39" spans="1:4" x14ac:dyDescent="0.3">
      <c r="A39">
        <v>136.95438077211119</v>
      </c>
      <c r="C39">
        <v>73.751114876519068</v>
      </c>
    </row>
    <row r="40" spans="1:4" x14ac:dyDescent="0.3">
      <c r="A40">
        <v>115.79183490354423</v>
      </c>
      <c r="C40">
        <v>-4.5767580195145738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1082-A73C-4DFA-8539-B1813C4EBF73}">
  <dimension ref="A1:C281"/>
  <sheetViews>
    <sheetView workbookViewId="0">
      <selection activeCell="C2" sqref="C2:C66"/>
    </sheetView>
  </sheetViews>
  <sheetFormatPr defaultRowHeight="14.4" x14ac:dyDescent="0.3"/>
  <sheetData>
    <row r="1" spans="1:3" x14ac:dyDescent="0.3">
      <c r="A1" t="s">
        <v>26</v>
      </c>
      <c r="B1" t="s">
        <v>24</v>
      </c>
      <c r="C1" s="15" t="s">
        <v>25</v>
      </c>
    </row>
    <row r="2" spans="1:3" x14ac:dyDescent="0.3">
      <c r="A2" t="s">
        <v>21</v>
      </c>
      <c r="B2" t="s">
        <v>16</v>
      </c>
    </row>
    <row r="3" spans="1:3" x14ac:dyDescent="0.3">
      <c r="A3" t="s">
        <v>21</v>
      </c>
      <c r="B3" t="s">
        <v>16</v>
      </c>
    </row>
    <row r="4" spans="1:3" x14ac:dyDescent="0.3">
      <c r="A4" t="s">
        <v>21</v>
      </c>
      <c r="B4" t="s">
        <v>16</v>
      </c>
    </row>
    <row r="5" spans="1:3" x14ac:dyDescent="0.3">
      <c r="A5" t="s">
        <v>21</v>
      </c>
      <c r="B5" t="s">
        <v>16</v>
      </c>
    </row>
    <row r="6" spans="1:3" x14ac:dyDescent="0.3">
      <c r="A6" t="s">
        <v>21</v>
      </c>
      <c r="B6" t="s">
        <v>16</v>
      </c>
    </row>
    <row r="7" spans="1:3" x14ac:dyDescent="0.3">
      <c r="A7" t="s">
        <v>21</v>
      </c>
      <c r="B7" t="s">
        <v>16</v>
      </c>
    </row>
    <row r="8" spans="1:3" x14ac:dyDescent="0.3">
      <c r="A8" t="s">
        <v>21</v>
      </c>
      <c r="B8" t="s">
        <v>16</v>
      </c>
    </row>
    <row r="9" spans="1:3" x14ac:dyDescent="0.3">
      <c r="A9" t="s">
        <v>21</v>
      </c>
      <c r="B9" t="s">
        <v>16</v>
      </c>
    </row>
    <row r="10" spans="1:3" x14ac:dyDescent="0.3">
      <c r="A10" t="s">
        <v>21</v>
      </c>
      <c r="B10" t="s">
        <v>16</v>
      </c>
    </row>
    <row r="11" spans="1:3" x14ac:dyDescent="0.3">
      <c r="A11" t="s">
        <v>21</v>
      </c>
      <c r="B11" t="s">
        <v>16</v>
      </c>
    </row>
    <row r="12" spans="1:3" x14ac:dyDescent="0.3">
      <c r="A12" t="s">
        <v>21</v>
      </c>
      <c r="B12" t="s">
        <v>16</v>
      </c>
    </row>
    <row r="13" spans="1:3" x14ac:dyDescent="0.3">
      <c r="A13" t="s">
        <v>21</v>
      </c>
      <c r="B13" t="s">
        <v>16</v>
      </c>
    </row>
    <row r="14" spans="1:3" x14ac:dyDescent="0.3">
      <c r="A14" t="s">
        <v>21</v>
      </c>
      <c r="B14" t="s">
        <v>16</v>
      </c>
    </row>
    <row r="15" spans="1:3" x14ac:dyDescent="0.3">
      <c r="A15" t="s">
        <v>21</v>
      </c>
      <c r="B15" t="s">
        <v>16</v>
      </c>
    </row>
    <row r="16" spans="1:3" x14ac:dyDescent="0.3">
      <c r="A16" t="s">
        <v>21</v>
      </c>
      <c r="B16" t="s">
        <v>16</v>
      </c>
    </row>
    <row r="17" spans="1:2" x14ac:dyDescent="0.3">
      <c r="A17" t="s">
        <v>21</v>
      </c>
      <c r="B17" t="s">
        <v>16</v>
      </c>
    </row>
    <row r="18" spans="1:2" x14ac:dyDescent="0.3">
      <c r="A18" t="s">
        <v>21</v>
      </c>
      <c r="B18" t="s">
        <v>16</v>
      </c>
    </row>
    <row r="19" spans="1:2" x14ac:dyDescent="0.3">
      <c r="A19" t="s">
        <v>21</v>
      </c>
      <c r="B19" t="s">
        <v>16</v>
      </c>
    </row>
    <row r="20" spans="1:2" x14ac:dyDescent="0.3">
      <c r="A20" t="s">
        <v>21</v>
      </c>
      <c r="B20" t="s">
        <v>16</v>
      </c>
    </row>
    <row r="21" spans="1:2" x14ac:dyDescent="0.3">
      <c r="A21" t="s">
        <v>21</v>
      </c>
      <c r="B21" t="s">
        <v>16</v>
      </c>
    </row>
    <row r="22" spans="1:2" x14ac:dyDescent="0.3">
      <c r="A22" t="s">
        <v>21</v>
      </c>
      <c r="B22" t="s">
        <v>16</v>
      </c>
    </row>
    <row r="23" spans="1:2" x14ac:dyDescent="0.3">
      <c r="A23" t="s">
        <v>21</v>
      </c>
      <c r="B23" t="s">
        <v>16</v>
      </c>
    </row>
    <row r="24" spans="1:2" x14ac:dyDescent="0.3">
      <c r="A24" t="s">
        <v>21</v>
      </c>
      <c r="B24" t="s">
        <v>16</v>
      </c>
    </row>
    <row r="25" spans="1:2" x14ac:dyDescent="0.3">
      <c r="A25" t="s">
        <v>21</v>
      </c>
      <c r="B25" t="s">
        <v>16</v>
      </c>
    </row>
    <row r="26" spans="1:2" x14ac:dyDescent="0.3">
      <c r="A26" t="s">
        <v>21</v>
      </c>
      <c r="B26" t="s">
        <v>16</v>
      </c>
    </row>
    <row r="27" spans="1:2" x14ac:dyDescent="0.3">
      <c r="A27" t="s">
        <v>21</v>
      </c>
      <c r="B27" t="s">
        <v>16</v>
      </c>
    </row>
    <row r="28" spans="1:2" x14ac:dyDescent="0.3">
      <c r="A28" t="s">
        <v>21</v>
      </c>
      <c r="B28" t="s">
        <v>16</v>
      </c>
    </row>
    <row r="29" spans="1:2" x14ac:dyDescent="0.3">
      <c r="A29" t="s">
        <v>21</v>
      </c>
      <c r="B29" t="s">
        <v>16</v>
      </c>
    </row>
    <row r="30" spans="1:2" x14ac:dyDescent="0.3">
      <c r="A30" t="s">
        <v>21</v>
      </c>
      <c r="B30" t="s">
        <v>16</v>
      </c>
    </row>
    <row r="31" spans="1:2" x14ac:dyDescent="0.3">
      <c r="A31" t="s">
        <v>21</v>
      </c>
      <c r="B31" t="s">
        <v>16</v>
      </c>
    </row>
    <row r="32" spans="1:2" x14ac:dyDescent="0.3">
      <c r="A32" t="s">
        <v>21</v>
      </c>
      <c r="B32" t="s">
        <v>16</v>
      </c>
    </row>
    <row r="33" spans="1:2" x14ac:dyDescent="0.3">
      <c r="A33" t="s">
        <v>21</v>
      </c>
      <c r="B33" t="s">
        <v>16</v>
      </c>
    </row>
    <row r="34" spans="1:2" x14ac:dyDescent="0.3">
      <c r="A34" t="s">
        <v>21</v>
      </c>
      <c r="B34" t="s">
        <v>16</v>
      </c>
    </row>
    <row r="35" spans="1:2" x14ac:dyDescent="0.3">
      <c r="A35" t="s">
        <v>21</v>
      </c>
      <c r="B35" t="s">
        <v>16</v>
      </c>
    </row>
    <row r="36" spans="1:2" x14ac:dyDescent="0.3">
      <c r="A36" t="s">
        <v>21</v>
      </c>
      <c r="B36" t="s">
        <v>16</v>
      </c>
    </row>
    <row r="37" spans="1:2" x14ac:dyDescent="0.3">
      <c r="A37" t="s">
        <v>21</v>
      </c>
      <c r="B37" t="s">
        <v>16</v>
      </c>
    </row>
    <row r="38" spans="1:2" x14ac:dyDescent="0.3">
      <c r="A38" t="s">
        <v>21</v>
      </c>
      <c r="B38" t="s">
        <v>16</v>
      </c>
    </row>
    <row r="39" spans="1:2" x14ac:dyDescent="0.3">
      <c r="A39" t="s">
        <v>21</v>
      </c>
      <c r="B39" t="s">
        <v>16</v>
      </c>
    </row>
    <row r="40" spans="1:2" x14ac:dyDescent="0.3">
      <c r="A40" t="s">
        <v>21</v>
      </c>
      <c r="B40" t="s">
        <v>16</v>
      </c>
    </row>
    <row r="41" spans="1:2" x14ac:dyDescent="0.3">
      <c r="A41" t="s">
        <v>22</v>
      </c>
      <c r="B41" t="s">
        <v>16</v>
      </c>
    </row>
    <row r="42" spans="1:2" x14ac:dyDescent="0.3">
      <c r="A42" t="s">
        <v>22</v>
      </c>
      <c r="B42" t="s">
        <v>16</v>
      </c>
    </row>
    <row r="43" spans="1:2" x14ac:dyDescent="0.3">
      <c r="A43" t="s">
        <v>22</v>
      </c>
      <c r="B43" t="s">
        <v>16</v>
      </c>
    </row>
    <row r="44" spans="1:2" x14ac:dyDescent="0.3">
      <c r="A44" t="s">
        <v>22</v>
      </c>
      <c r="B44" t="s">
        <v>16</v>
      </c>
    </row>
    <row r="45" spans="1:2" x14ac:dyDescent="0.3">
      <c r="A45" t="s">
        <v>22</v>
      </c>
      <c r="B45" t="s">
        <v>16</v>
      </c>
    </row>
    <row r="46" spans="1:2" x14ac:dyDescent="0.3">
      <c r="A46" t="s">
        <v>22</v>
      </c>
      <c r="B46" t="s">
        <v>16</v>
      </c>
    </row>
    <row r="47" spans="1:2" x14ac:dyDescent="0.3">
      <c r="A47" t="s">
        <v>22</v>
      </c>
      <c r="B47" t="s">
        <v>16</v>
      </c>
    </row>
    <row r="48" spans="1:2" x14ac:dyDescent="0.3">
      <c r="A48" t="s">
        <v>22</v>
      </c>
      <c r="B48" t="s">
        <v>16</v>
      </c>
    </row>
    <row r="49" spans="1:2" x14ac:dyDescent="0.3">
      <c r="A49" t="s">
        <v>22</v>
      </c>
      <c r="B49" t="s">
        <v>16</v>
      </c>
    </row>
    <row r="50" spans="1:2" x14ac:dyDescent="0.3">
      <c r="A50" t="s">
        <v>22</v>
      </c>
      <c r="B50" t="s">
        <v>16</v>
      </c>
    </row>
    <row r="51" spans="1:2" x14ac:dyDescent="0.3">
      <c r="A51" t="s">
        <v>22</v>
      </c>
      <c r="B51" t="s">
        <v>16</v>
      </c>
    </row>
    <row r="52" spans="1:2" x14ac:dyDescent="0.3">
      <c r="A52" t="s">
        <v>22</v>
      </c>
      <c r="B52" t="s">
        <v>16</v>
      </c>
    </row>
    <row r="53" spans="1:2" x14ac:dyDescent="0.3">
      <c r="A53" t="s">
        <v>22</v>
      </c>
      <c r="B53" t="s">
        <v>16</v>
      </c>
    </row>
    <row r="54" spans="1:2" x14ac:dyDescent="0.3">
      <c r="A54" t="s">
        <v>22</v>
      </c>
      <c r="B54" t="s">
        <v>16</v>
      </c>
    </row>
    <row r="55" spans="1:2" x14ac:dyDescent="0.3">
      <c r="A55" t="s">
        <v>22</v>
      </c>
      <c r="B55" t="s">
        <v>16</v>
      </c>
    </row>
    <row r="56" spans="1:2" x14ac:dyDescent="0.3">
      <c r="A56" t="s">
        <v>22</v>
      </c>
      <c r="B56" t="s">
        <v>16</v>
      </c>
    </row>
    <row r="57" spans="1:2" x14ac:dyDescent="0.3">
      <c r="A57" t="s">
        <v>22</v>
      </c>
      <c r="B57" t="s">
        <v>16</v>
      </c>
    </row>
    <row r="58" spans="1:2" x14ac:dyDescent="0.3">
      <c r="A58" t="s">
        <v>22</v>
      </c>
      <c r="B58" t="s">
        <v>16</v>
      </c>
    </row>
    <row r="59" spans="1:2" x14ac:dyDescent="0.3">
      <c r="A59" t="s">
        <v>22</v>
      </c>
      <c r="B59" t="s">
        <v>16</v>
      </c>
    </row>
    <row r="60" spans="1:2" x14ac:dyDescent="0.3">
      <c r="A60" t="s">
        <v>22</v>
      </c>
      <c r="B60" t="s">
        <v>16</v>
      </c>
    </row>
    <row r="61" spans="1:2" x14ac:dyDescent="0.3">
      <c r="A61" t="s">
        <v>22</v>
      </c>
      <c r="B61" t="s">
        <v>16</v>
      </c>
    </row>
    <row r="62" spans="1:2" x14ac:dyDescent="0.3">
      <c r="A62" t="s">
        <v>22</v>
      </c>
      <c r="B62" t="s">
        <v>16</v>
      </c>
    </row>
    <row r="63" spans="1:2" x14ac:dyDescent="0.3">
      <c r="A63" t="s">
        <v>22</v>
      </c>
      <c r="B63" t="s">
        <v>16</v>
      </c>
    </row>
    <row r="64" spans="1:2" x14ac:dyDescent="0.3">
      <c r="A64" t="s">
        <v>22</v>
      </c>
      <c r="B64" t="s">
        <v>16</v>
      </c>
    </row>
    <row r="65" spans="1:3" x14ac:dyDescent="0.3">
      <c r="A65" t="s">
        <v>22</v>
      </c>
      <c r="B65" t="s">
        <v>16</v>
      </c>
    </row>
    <row r="66" spans="1:3" x14ac:dyDescent="0.3">
      <c r="A66" t="s">
        <v>22</v>
      </c>
      <c r="B66" t="s">
        <v>16</v>
      </c>
    </row>
    <row r="67" spans="1:3" x14ac:dyDescent="0.3">
      <c r="A67" t="s">
        <v>22</v>
      </c>
      <c r="B67" t="s">
        <v>16</v>
      </c>
    </row>
    <row r="68" spans="1:3" x14ac:dyDescent="0.3">
      <c r="A68" t="s">
        <v>22</v>
      </c>
      <c r="B68" t="s">
        <v>16</v>
      </c>
    </row>
    <row r="69" spans="1:3" x14ac:dyDescent="0.3">
      <c r="A69" t="s">
        <v>22</v>
      </c>
      <c r="B69" t="s">
        <v>16</v>
      </c>
    </row>
    <row r="70" spans="1:3" x14ac:dyDescent="0.3">
      <c r="A70" t="s">
        <v>22</v>
      </c>
      <c r="B70" t="s">
        <v>16</v>
      </c>
    </row>
    <row r="71" spans="1:3" x14ac:dyDescent="0.3">
      <c r="A71" t="s">
        <v>22</v>
      </c>
      <c r="B71" t="s">
        <v>16</v>
      </c>
    </row>
    <row r="72" spans="1:3" x14ac:dyDescent="0.3">
      <c r="A72" t="s">
        <v>21</v>
      </c>
      <c r="B72" t="s">
        <v>17</v>
      </c>
      <c r="C72">
        <v>-24.138886356771202</v>
      </c>
    </row>
    <row r="73" spans="1:3" x14ac:dyDescent="0.3">
      <c r="A73" t="s">
        <v>21</v>
      </c>
      <c r="B73" t="s">
        <v>17</v>
      </c>
      <c r="C73">
        <v>-19.893150591889952</v>
      </c>
    </row>
    <row r="74" spans="1:3" x14ac:dyDescent="0.3">
      <c r="A74" t="s">
        <v>21</v>
      </c>
      <c r="B74" t="s">
        <v>17</v>
      </c>
      <c r="C74">
        <v>-9.1862250415118325</v>
      </c>
    </row>
    <row r="75" spans="1:3" x14ac:dyDescent="0.3">
      <c r="A75" t="s">
        <v>21</v>
      </c>
      <c r="B75" t="s">
        <v>17</v>
      </c>
      <c r="C75">
        <v>-11.276026446032818</v>
      </c>
    </row>
    <row r="76" spans="1:3" x14ac:dyDescent="0.3">
      <c r="A76" t="s">
        <v>21</v>
      </c>
      <c r="B76" t="s">
        <v>17</v>
      </c>
      <c r="C76">
        <v>17.068558426679129</v>
      </c>
    </row>
    <row r="77" spans="1:3" x14ac:dyDescent="0.3">
      <c r="A77" t="s">
        <v>21</v>
      </c>
      <c r="B77" t="s">
        <v>17</v>
      </c>
      <c r="C77">
        <v>-17.697536458026121</v>
      </c>
    </row>
    <row r="78" spans="1:3" x14ac:dyDescent="0.3">
      <c r="A78" t="s">
        <v>21</v>
      </c>
      <c r="B78" t="s">
        <v>17</v>
      </c>
      <c r="C78">
        <v>-36.148631137182988</v>
      </c>
    </row>
    <row r="79" spans="1:3" x14ac:dyDescent="0.3">
      <c r="A79" t="s">
        <v>21</v>
      </c>
      <c r="B79" t="s">
        <v>17</v>
      </c>
      <c r="C79">
        <v>-47.609472384128807</v>
      </c>
    </row>
    <row r="80" spans="1:3" x14ac:dyDescent="0.3">
      <c r="A80" t="s">
        <v>21</v>
      </c>
      <c r="B80" t="s">
        <v>17</v>
      </c>
      <c r="C80">
        <v>-39.944662802357186</v>
      </c>
    </row>
    <row r="81" spans="1:3" x14ac:dyDescent="0.3">
      <c r="A81" t="s">
        <v>21</v>
      </c>
      <c r="B81" t="s">
        <v>17</v>
      </c>
      <c r="C81">
        <v>25.474057113850566</v>
      </c>
    </row>
    <row r="82" spans="1:3" x14ac:dyDescent="0.3">
      <c r="A82" t="s">
        <v>21</v>
      </c>
      <c r="B82" t="s">
        <v>17</v>
      </c>
      <c r="C82">
        <v>5.8061160472511153</v>
      </c>
    </row>
    <row r="83" spans="1:3" x14ac:dyDescent="0.3">
      <c r="A83" t="s">
        <v>21</v>
      </c>
      <c r="B83" t="s">
        <v>17</v>
      </c>
      <c r="C83">
        <v>42.668625632061271</v>
      </c>
    </row>
    <row r="84" spans="1:3" x14ac:dyDescent="0.3">
      <c r="A84" t="s">
        <v>21</v>
      </c>
      <c r="B84" t="s">
        <v>17</v>
      </c>
      <c r="C84">
        <v>-14.146196729457225</v>
      </c>
    </row>
    <row r="85" spans="1:3" x14ac:dyDescent="0.3">
      <c r="A85" t="s">
        <v>21</v>
      </c>
      <c r="B85" t="s">
        <v>17</v>
      </c>
      <c r="C85">
        <v>9.5029482786664108</v>
      </c>
    </row>
    <row r="86" spans="1:3" x14ac:dyDescent="0.3">
      <c r="A86" t="s">
        <v>21</v>
      </c>
      <c r="B86" t="s">
        <v>17</v>
      </c>
      <c r="C86">
        <v>-27.438920853150872</v>
      </c>
    </row>
    <row r="87" spans="1:3" x14ac:dyDescent="0.3">
      <c r="A87" t="s">
        <v>21</v>
      </c>
      <c r="B87" t="s">
        <v>17</v>
      </c>
      <c r="C87">
        <v>-17.750442822697543</v>
      </c>
    </row>
    <row r="88" spans="1:3" x14ac:dyDescent="0.3">
      <c r="A88" t="s">
        <v>21</v>
      </c>
      <c r="B88" t="s">
        <v>17</v>
      </c>
      <c r="C88">
        <v>-2.9565006014524178</v>
      </c>
    </row>
    <row r="89" spans="1:3" x14ac:dyDescent="0.3">
      <c r="A89" t="s">
        <v>21</v>
      </c>
      <c r="B89" t="s">
        <v>17</v>
      </c>
      <c r="C89">
        <v>49.923410887629409</v>
      </c>
    </row>
    <row r="90" spans="1:3" x14ac:dyDescent="0.3">
      <c r="A90" t="s">
        <v>21</v>
      </c>
      <c r="B90" t="s">
        <v>17</v>
      </c>
      <c r="C90">
        <v>-17.01636701288162</v>
      </c>
    </row>
    <row r="91" spans="1:3" x14ac:dyDescent="0.3">
      <c r="A91" t="s">
        <v>21</v>
      </c>
      <c r="B91" t="s">
        <v>17</v>
      </c>
      <c r="C91">
        <v>-5.1256615529805325</v>
      </c>
    </row>
    <row r="92" spans="1:3" x14ac:dyDescent="0.3">
      <c r="A92" t="s">
        <v>21</v>
      </c>
      <c r="B92" t="s">
        <v>17</v>
      </c>
      <c r="C92">
        <v>-14.675260376171401</v>
      </c>
    </row>
    <row r="93" spans="1:3" x14ac:dyDescent="0.3">
      <c r="A93" t="s">
        <v>21</v>
      </c>
      <c r="B93" t="s">
        <v>17</v>
      </c>
      <c r="C93">
        <v>1.891045061566216</v>
      </c>
    </row>
    <row r="94" spans="1:3" x14ac:dyDescent="0.3">
      <c r="A94" t="s">
        <v>21</v>
      </c>
      <c r="B94" t="s">
        <v>17</v>
      </c>
      <c r="C94">
        <v>4.9199344390048703</v>
      </c>
    </row>
    <row r="95" spans="1:3" x14ac:dyDescent="0.3">
      <c r="A95" t="s">
        <v>21</v>
      </c>
      <c r="B95" t="s">
        <v>17</v>
      </c>
      <c r="C95">
        <v>-26.949536979940262</v>
      </c>
    </row>
    <row r="96" spans="1:3" x14ac:dyDescent="0.3">
      <c r="A96" t="s">
        <v>21</v>
      </c>
      <c r="B96" t="s">
        <v>17</v>
      </c>
      <c r="C96">
        <v>-24.60843034323003</v>
      </c>
    </row>
    <row r="97" spans="1:3" x14ac:dyDescent="0.3">
      <c r="A97" t="s">
        <v>21</v>
      </c>
      <c r="B97" t="s">
        <v>17</v>
      </c>
      <c r="C97">
        <v>3.74938112064976</v>
      </c>
    </row>
    <row r="98" spans="1:3" x14ac:dyDescent="0.3">
      <c r="A98" t="s">
        <v>21</v>
      </c>
      <c r="B98" t="s">
        <v>17</v>
      </c>
      <c r="C98">
        <v>45.928980354937366</v>
      </c>
    </row>
    <row r="99" spans="1:3" x14ac:dyDescent="0.3">
      <c r="A99" t="s">
        <v>21</v>
      </c>
      <c r="B99" t="s">
        <v>17</v>
      </c>
      <c r="C99">
        <v>23.199083432979631</v>
      </c>
    </row>
    <row r="100" spans="1:3" x14ac:dyDescent="0.3">
      <c r="A100" t="s">
        <v>21</v>
      </c>
      <c r="B100" t="s">
        <v>17</v>
      </c>
      <c r="C100">
        <v>35.896610954119822</v>
      </c>
    </row>
    <row r="101" spans="1:3" x14ac:dyDescent="0.3">
      <c r="A101" t="s">
        <v>21</v>
      </c>
      <c r="B101" t="s">
        <v>17</v>
      </c>
      <c r="C101">
        <v>-27.26697516796877</v>
      </c>
    </row>
    <row r="102" spans="1:3" x14ac:dyDescent="0.3">
      <c r="A102" t="s">
        <v>21</v>
      </c>
      <c r="B102" t="s">
        <v>17</v>
      </c>
    </row>
    <row r="103" spans="1:3" x14ac:dyDescent="0.3">
      <c r="A103" t="s">
        <v>21</v>
      </c>
      <c r="B103" t="s">
        <v>17</v>
      </c>
    </row>
    <row r="104" spans="1:3" x14ac:dyDescent="0.3">
      <c r="A104" t="s">
        <v>21</v>
      </c>
      <c r="B104" t="s">
        <v>17</v>
      </c>
    </row>
    <row r="105" spans="1:3" x14ac:dyDescent="0.3">
      <c r="A105" t="s">
        <v>21</v>
      </c>
      <c r="B105" t="s">
        <v>17</v>
      </c>
    </row>
    <row r="106" spans="1:3" x14ac:dyDescent="0.3">
      <c r="A106" t="s">
        <v>21</v>
      </c>
      <c r="B106" t="s">
        <v>17</v>
      </c>
    </row>
    <row r="107" spans="1:3" x14ac:dyDescent="0.3">
      <c r="A107" t="s">
        <v>21</v>
      </c>
      <c r="B107" t="s">
        <v>17</v>
      </c>
    </row>
    <row r="108" spans="1:3" x14ac:dyDescent="0.3">
      <c r="A108" t="s">
        <v>21</v>
      </c>
      <c r="B108" t="s">
        <v>17</v>
      </c>
    </row>
    <row r="109" spans="1:3" x14ac:dyDescent="0.3">
      <c r="A109" t="s">
        <v>21</v>
      </c>
      <c r="B109" t="s">
        <v>17</v>
      </c>
    </row>
    <row r="110" spans="1:3" x14ac:dyDescent="0.3">
      <c r="A110" t="s">
        <v>21</v>
      </c>
      <c r="B110" t="s">
        <v>17</v>
      </c>
    </row>
    <row r="111" spans="1:3" x14ac:dyDescent="0.3">
      <c r="A111" t="s">
        <v>22</v>
      </c>
      <c r="B111" t="s">
        <v>17</v>
      </c>
      <c r="C111">
        <v>-3.8764414036836339</v>
      </c>
    </row>
    <row r="112" spans="1:3" x14ac:dyDescent="0.3">
      <c r="A112" t="s">
        <v>22</v>
      </c>
      <c r="B112" t="s">
        <v>17</v>
      </c>
      <c r="C112">
        <v>-22.77791622301261</v>
      </c>
    </row>
    <row r="113" spans="1:3" x14ac:dyDescent="0.3">
      <c r="A113" t="s">
        <v>22</v>
      </c>
      <c r="B113" t="s">
        <v>17</v>
      </c>
      <c r="C113">
        <v>-32.527582066559432</v>
      </c>
    </row>
    <row r="114" spans="1:3" x14ac:dyDescent="0.3">
      <c r="A114" t="s">
        <v>22</v>
      </c>
      <c r="B114" t="s">
        <v>17</v>
      </c>
      <c r="C114">
        <v>3.448947690355924</v>
      </c>
    </row>
    <row r="115" spans="1:3" x14ac:dyDescent="0.3">
      <c r="A115" t="s">
        <v>22</v>
      </c>
      <c r="B115" t="s">
        <v>17</v>
      </c>
      <c r="C115">
        <v>-24.019618948369988</v>
      </c>
    </row>
    <row r="116" spans="1:3" x14ac:dyDescent="0.3">
      <c r="A116" t="s">
        <v>22</v>
      </c>
      <c r="B116" t="s">
        <v>17</v>
      </c>
      <c r="C116">
        <v>255.53431050497278</v>
      </c>
    </row>
    <row r="117" spans="1:3" x14ac:dyDescent="0.3">
      <c r="A117" t="s">
        <v>22</v>
      </c>
      <c r="B117" t="s">
        <v>17</v>
      </c>
      <c r="C117">
        <v>136.40311728325142</v>
      </c>
    </row>
    <row r="118" spans="1:3" x14ac:dyDescent="0.3">
      <c r="A118" t="s">
        <v>22</v>
      </c>
      <c r="B118" t="s">
        <v>17</v>
      </c>
      <c r="C118">
        <v>31.443102784259562</v>
      </c>
    </row>
    <row r="119" spans="1:3" x14ac:dyDescent="0.3">
      <c r="A119" t="s">
        <v>22</v>
      </c>
      <c r="B119" t="s">
        <v>17</v>
      </c>
      <c r="C119">
        <v>-1.3601866745202764</v>
      </c>
    </row>
    <row r="120" spans="1:3" x14ac:dyDescent="0.3">
      <c r="A120" t="s">
        <v>22</v>
      </c>
      <c r="B120" t="s">
        <v>17</v>
      </c>
      <c r="C120">
        <v>34.110464194286507</v>
      </c>
    </row>
    <row r="121" spans="1:3" x14ac:dyDescent="0.3">
      <c r="A121" t="s">
        <v>22</v>
      </c>
      <c r="B121" t="s">
        <v>17</v>
      </c>
      <c r="C121">
        <v>2.1021272739630001</v>
      </c>
    </row>
    <row r="122" spans="1:3" x14ac:dyDescent="0.3">
      <c r="A122" t="s">
        <v>22</v>
      </c>
      <c r="B122" t="s">
        <v>17</v>
      </c>
      <c r="C122">
        <v>2.430620058449072</v>
      </c>
    </row>
    <row r="123" spans="1:3" x14ac:dyDescent="0.3">
      <c r="A123" t="s">
        <v>22</v>
      </c>
      <c r="B123" t="s">
        <v>17</v>
      </c>
      <c r="C123">
        <v>-3.2063161233320314</v>
      </c>
    </row>
    <row r="124" spans="1:3" x14ac:dyDescent="0.3">
      <c r="A124" t="s">
        <v>22</v>
      </c>
      <c r="B124" t="s">
        <v>17</v>
      </c>
      <c r="C124">
        <v>-19.440429532634042</v>
      </c>
    </row>
    <row r="125" spans="1:3" x14ac:dyDescent="0.3">
      <c r="A125" t="s">
        <v>22</v>
      </c>
      <c r="B125" t="s">
        <v>17</v>
      </c>
      <c r="C125">
        <v>35.76606782809634</v>
      </c>
    </row>
    <row r="126" spans="1:3" x14ac:dyDescent="0.3">
      <c r="A126" t="s">
        <v>22</v>
      </c>
      <c r="B126" t="s">
        <v>17</v>
      </c>
    </row>
    <row r="127" spans="1:3" x14ac:dyDescent="0.3">
      <c r="A127" t="s">
        <v>22</v>
      </c>
      <c r="B127" t="s">
        <v>17</v>
      </c>
    </row>
    <row r="128" spans="1:3" x14ac:dyDescent="0.3">
      <c r="A128" t="s">
        <v>22</v>
      </c>
      <c r="B128" t="s">
        <v>17</v>
      </c>
    </row>
    <row r="129" spans="1:3" x14ac:dyDescent="0.3">
      <c r="A129" t="s">
        <v>22</v>
      </c>
      <c r="B129" t="s">
        <v>17</v>
      </c>
    </row>
    <row r="130" spans="1:3" x14ac:dyDescent="0.3">
      <c r="A130" t="s">
        <v>22</v>
      </c>
      <c r="B130" t="s">
        <v>17</v>
      </c>
    </row>
    <row r="131" spans="1:3" x14ac:dyDescent="0.3">
      <c r="A131" t="s">
        <v>22</v>
      </c>
      <c r="B131" t="s">
        <v>17</v>
      </c>
    </row>
    <row r="132" spans="1:3" x14ac:dyDescent="0.3">
      <c r="A132" t="s">
        <v>22</v>
      </c>
      <c r="B132" t="s">
        <v>17</v>
      </c>
    </row>
    <row r="133" spans="1:3" x14ac:dyDescent="0.3">
      <c r="A133" t="s">
        <v>22</v>
      </c>
      <c r="B133" t="s">
        <v>17</v>
      </c>
    </row>
    <row r="134" spans="1:3" x14ac:dyDescent="0.3">
      <c r="A134" t="s">
        <v>22</v>
      </c>
      <c r="B134" t="s">
        <v>17</v>
      </c>
    </row>
    <row r="135" spans="1:3" x14ac:dyDescent="0.3">
      <c r="A135" t="s">
        <v>22</v>
      </c>
      <c r="B135" t="s">
        <v>17</v>
      </c>
    </row>
    <row r="136" spans="1:3" x14ac:dyDescent="0.3">
      <c r="A136" t="s">
        <v>22</v>
      </c>
      <c r="B136" t="s">
        <v>17</v>
      </c>
    </row>
    <row r="137" spans="1:3" x14ac:dyDescent="0.3">
      <c r="A137" t="s">
        <v>22</v>
      </c>
      <c r="B137" t="s">
        <v>17</v>
      </c>
    </row>
    <row r="138" spans="1:3" x14ac:dyDescent="0.3">
      <c r="A138" t="s">
        <v>22</v>
      </c>
      <c r="B138" t="s">
        <v>17</v>
      </c>
    </row>
    <row r="139" spans="1:3" x14ac:dyDescent="0.3">
      <c r="A139" t="s">
        <v>22</v>
      </c>
      <c r="B139" t="s">
        <v>17</v>
      </c>
    </row>
    <row r="140" spans="1:3" x14ac:dyDescent="0.3">
      <c r="A140" t="s">
        <v>22</v>
      </c>
      <c r="B140" t="s">
        <v>17</v>
      </c>
    </row>
    <row r="141" spans="1:3" x14ac:dyDescent="0.3">
      <c r="A141" t="s">
        <v>22</v>
      </c>
      <c r="B141" t="s">
        <v>17</v>
      </c>
    </row>
    <row r="142" spans="1:3" x14ac:dyDescent="0.3">
      <c r="A142" t="s">
        <v>21</v>
      </c>
      <c r="B142" t="s">
        <v>19</v>
      </c>
      <c r="C142">
        <v>95.647736554901982</v>
      </c>
    </row>
    <row r="143" spans="1:3" x14ac:dyDescent="0.3">
      <c r="A143" t="s">
        <v>21</v>
      </c>
      <c r="B143" t="s">
        <v>19</v>
      </c>
      <c r="C143">
        <v>89.616410982360392</v>
      </c>
    </row>
    <row r="144" spans="1:3" x14ac:dyDescent="0.3">
      <c r="A144" t="s">
        <v>21</v>
      </c>
      <c r="B144" t="s">
        <v>19</v>
      </c>
      <c r="C144">
        <v>72.48797541998897</v>
      </c>
    </row>
    <row r="145" spans="1:3" x14ac:dyDescent="0.3">
      <c r="A145" t="s">
        <v>21</v>
      </c>
      <c r="B145" t="s">
        <v>19</v>
      </c>
      <c r="C145">
        <v>53.362324591271545</v>
      </c>
    </row>
    <row r="146" spans="1:3" x14ac:dyDescent="0.3">
      <c r="A146" t="s">
        <v>21</v>
      </c>
      <c r="B146" t="s">
        <v>19</v>
      </c>
      <c r="C146">
        <v>68.096747152261301</v>
      </c>
    </row>
    <row r="147" spans="1:3" x14ac:dyDescent="0.3">
      <c r="A147" t="s">
        <v>21</v>
      </c>
      <c r="B147" t="s">
        <v>19</v>
      </c>
      <c r="C147">
        <v>1.3355282325163345</v>
      </c>
    </row>
    <row r="148" spans="1:3" x14ac:dyDescent="0.3">
      <c r="A148" t="s">
        <v>21</v>
      </c>
      <c r="B148" t="s">
        <v>19</v>
      </c>
      <c r="C148">
        <v>72.236670187799731</v>
      </c>
    </row>
    <row r="149" spans="1:3" x14ac:dyDescent="0.3">
      <c r="A149" t="s">
        <v>21</v>
      </c>
      <c r="B149" t="s">
        <v>19</v>
      </c>
      <c r="C149">
        <v>78.142343144246723</v>
      </c>
    </row>
    <row r="150" spans="1:3" x14ac:dyDescent="0.3">
      <c r="A150" t="s">
        <v>21</v>
      </c>
      <c r="B150" t="s">
        <v>19</v>
      </c>
      <c r="C150">
        <v>43.16462280085581</v>
      </c>
    </row>
    <row r="151" spans="1:3" x14ac:dyDescent="0.3">
      <c r="A151" t="s">
        <v>21</v>
      </c>
      <c r="B151" t="s">
        <v>19</v>
      </c>
      <c r="C151">
        <v>45.274264092128575</v>
      </c>
    </row>
    <row r="152" spans="1:3" x14ac:dyDescent="0.3">
      <c r="A152" t="s">
        <v>21</v>
      </c>
      <c r="B152" t="s">
        <v>19</v>
      </c>
      <c r="C152">
        <v>-0.25827600321011612</v>
      </c>
    </row>
    <row r="153" spans="1:3" x14ac:dyDescent="0.3">
      <c r="A153" t="s">
        <v>21</v>
      </c>
      <c r="B153" t="s">
        <v>19</v>
      </c>
      <c r="C153">
        <v>4.9331610301727284</v>
      </c>
    </row>
    <row r="154" spans="1:3" x14ac:dyDescent="0.3">
      <c r="A154" t="s">
        <v>21</v>
      </c>
      <c r="B154" t="s">
        <v>19</v>
      </c>
      <c r="C154">
        <v>39.156965676995945</v>
      </c>
    </row>
    <row r="155" spans="1:3" x14ac:dyDescent="0.3">
      <c r="A155" t="s">
        <v>21</v>
      </c>
      <c r="B155" t="s">
        <v>19</v>
      </c>
      <c r="C155">
        <v>70.636252656489347</v>
      </c>
    </row>
    <row r="156" spans="1:3" x14ac:dyDescent="0.3">
      <c r="A156" t="s">
        <v>21</v>
      </c>
      <c r="B156" t="s">
        <v>19</v>
      </c>
      <c r="C156">
        <v>97.93593682694079</v>
      </c>
    </row>
    <row r="157" spans="1:3" x14ac:dyDescent="0.3">
      <c r="A157" t="s">
        <v>21</v>
      </c>
      <c r="B157" t="s">
        <v>19</v>
      </c>
      <c r="C157">
        <v>38.641128621449603</v>
      </c>
    </row>
    <row r="158" spans="1:3" x14ac:dyDescent="0.3">
      <c r="A158" t="s">
        <v>21</v>
      </c>
      <c r="B158" t="s">
        <v>19</v>
      </c>
      <c r="C158">
        <v>38.641128621449603</v>
      </c>
    </row>
    <row r="159" spans="1:3" x14ac:dyDescent="0.3">
      <c r="A159" t="s">
        <v>21</v>
      </c>
      <c r="B159" t="s">
        <v>19</v>
      </c>
      <c r="C159">
        <v>43.31672859928613</v>
      </c>
    </row>
    <row r="160" spans="1:3" x14ac:dyDescent="0.3">
      <c r="A160" t="s">
        <v>21</v>
      </c>
      <c r="B160" t="s">
        <v>19</v>
      </c>
      <c r="C160">
        <v>44.262429867787723</v>
      </c>
    </row>
    <row r="161" spans="1:3" x14ac:dyDescent="0.3">
      <c r="A161" t="s">
        <v>21</v>
      </c>
      <c r="B161" t="s">
        <v>19</v>
      </c>
      <c r="C161">
        <v>11.639042752274895</v>
      </c>
    </row>
    <row r="162" spans="1:3" x14ac:dyDescent="0.3">
      <c r="A162" t="s">
        <v>21</v>
      </c>
      <c r="B162" t="s">
        <v>19</v>
      </c>
      <c r="C162">
        <v>89.642864164696093</v>
      </c>
    </row>
    <row r="163" spans="1:3" x14ac:dyDescent="0.3">
      <c r="A163" t="s">
        <v>21</v>
      </c>
      <c r="B163" t="s">
        <v>19</v>
      </c>
      <c r="C163">
        <v>28.760865019062383</v>
      </c>
    </row>
    <row r="164" spans="1:3" x14ac:dyDescent="0.3">
      <c r="A164" t="s">
        <v>21</v>
      </c>
      <c r="B164" t="s">
        <v>19</v>
      </c>
      <c r="C164">
        <v>17.419063092627251</v>
      </c>
    </row>
    <row r="165" spans="1:3" x14ac:dyDescent="0.3">
      <c r="A165" t="s">
        <v>21</v>
      </c>
      <c r="B165" t="s">
        <v>19</v>
      </c>
      <c r="C165">
        <v>8.0810897281220644</v>
      </c>
    </row>
    <row r="166" spans="1:3" x14ac:dyDescent="0.3">
      <c r="A166" t="s">
        <v>21</v>
      </c>
      <c r="B166" t="s">
        <v>19</v>
      </c>
      <c r="C166">
        <v>-21.083543796996842</v>
      </c>
    </row>
    <row r="167" spans="1:3" x14ac:dyDescent="0.3">
      <c r="A167" t="s">
        <v>21</v>
      </c>
      <c r="B167" t="s">
        <v>19</v>
      </c>
      <c r="C167">
        <v>-3.3070052674005526</v>
      </c>
    </row>
    <row r="168" spans="1:3" x14ac:dyDescent="0.3">
      <c r="A168" t="s">
        <v>21</v>
      </c>
      <c r="B168" t="s">
        <v>19</v>
      </c>
      <c r="C168">
        <v>-6.3623478271749132</v>
      </c>
    </row>
    <row r="169" spans="1:3" x14ac:dyDescent="0.3">
      <c r="A169" t="s">
        <v>21</v>
      </c>
      <c r="B169" t="s">
        <v>19</v>
      </c>
      <c r="C169">
        <v>71.092570051780328</v>
      </c>
    </row>
    <row r="170" spans="1:3" x14ac:dyDescent="0.3">
      <c r="A170" t="s">
        <v>21</v>
      </c>
      <c r="B170" t="s">
        <v>19</v>
      </c>
      <c r="C170">
        <v>-4.6693441576895625</v>
      </c>
    </row>
    <row r="171" spans="1:3" x14ac:dyDescent="0.3">
      <c r="A171" t="s">
        <v>21</v>
      </c>
      <c r="B171" t="s">
        <v>19</v>
      </c>
      <c r="C171">
        <v>51.556894896859419</v>
      </c>
    </row>
    <row r="172" spans="1:3" x14ac:dyDescent="0.3">
      <c r="A172" t="s">
        <v>21</v>
      </c>
      <c r="B172" t="s">
        <v>19</v>
      </c>
      <c r="C172">
        <v>16.24850977427214</v>
      </c>
    </row>
    <row r="173" spans="1:3" x14ac:dyDescent="0.3">
      <c r="A173" t="s">
        <v>21</v>
      </c>
      <c r="B173" t="s">
        <v>19</v>
      </c>
      <c r="C173">
        <v>63.097095690812353</v>
      </c>
    </row>
    <row r="174" spans="1:3" x14ac:dyDescent="0.3">
      <c r="A174" t="s">
        <v>21</v>
      </c>
      <c r="B174" t="s">
        <v>19</v>
      </c>
      <c r="C174">
        <v>45.565249097821372</v>
      </c>
    </row>
    <row r="175" spans="1:3" x14ac:dyDescent="0.3">
      <c r="A175" t="s">
        <v>21</v>
      </c>
      <c r="B175" t="s">
        <v>19</v>
      </c>
      <c r="C175">
        <v>28.125988643005371</v>
      </c>
    </row>
    <row r="176" spans="1:3" x14ac:dyDescent="0.3">
      <c r="A176" t="s">
        <v>21</v>
      </c>
      <c r="B176" t="s">
        <v>19</v>
      </c>
      <c r="C176">
        <v>31.306983818874361</v>
      </c>
    </row>
    <row r="177" spans="1:3" x14ac:dyDescent="0.3">
      <c r="A177" t="s">
        <v>21</v>
      </c>
      <c r="B177" t="s">
        <v>19</v>
      </c>
      <c r="C177">
        <v>43.845792246000315</v>
      </c>
    </row>
    <row r="178" spans="1:3" x14ac:dyDescent="0.3">
      <c r="A178" t="s">
        <v>21</v>
      </c>
      <c r="B178" t="s">
        <v>19</v>
      </c>
      <c r="C178">
        <v>37.100230750394587</v>
      </c>
    </row>
    <row r="179" spans="1:3" x14ac:dyDescent="0.3">
      <c r="A179" t="s">
        <v>21</v>
      </c>
      <c r="B179" t="s">
        <v>19</v>
      </c>
      <c r="C179">
        <v>73.751114876519068</v>
      </c>
    </row>
    <row r="180" spans="1:3" x14ac:dyDescent="0.3">
      <c r="A180" t="s">
        <v>21</v>
      </c>
      <c r="B180" t="s">
        <v>19</v>
      </c>
      <c r="C180">
        <v>-4.5767580195145738</v>
      </c>
    </row>
    <row r="181" spans="1:3" x14ac:dyDescent="0.3">
      <c r="A181" t="s">
        <v>22</v>
      </c>
      <c r="B181" t="s">
        <v>19</v>
      </c>
      <c r="C181">
        <v>29.472146077343087</v>
      </c>
    </row>
    <row r="182" spans="1:3" x14ac:dyDescent="0.3">
      <c r="A182" t="s">
        <v>22</v>
      </c>
      <c r="B182" t="s">
        <v>19</v>
      </c>
      <c r="C182">
        <v>-34.964998527446134</v>
      </c>
    </row>
    <row r="183" spans="1:3" x14ac:dyDescent="0.3">
      <c r="A183" t="s">
        <v>22</v>
      </c>
      <c r="B183" t="s">
        <v>19</v>
      </c>
      <c r="C183">
        <v>1.9904397272377254</v>
      </c>
    </row>
    <row r="184" spans="1:3" x14ac:dyDescent="0.3">
      <c r="A184" t="s">
        <v>22</v>
      </c>
      <c r="B184" t="s">
        <v>19</v>
      </c>
      <c r="C184">
        <v>35.141931537572802</v>
      </c>
    </row>
    <row r="185" spans="1:3" x14ac:dyDescent="0.3">
      <c r="A185" t="s">
        <v>22</v>
      </c>
      <c r="B185" t="s">
        <v>19</v>
      </c>
      <c r="C185">
        <v>28.782311229922314</v>
      </c>
    </row>
    <row r="186" spans="1:3" x14ac:dyDescent="0.3">
      <c r="A186" t="s">
        <v>22</v>
      </c>
      <c r="B186" t="s">
        <v>19</v>
      </c>
      <c r="C186">
        <v>105.45909698466281</v>
      </c>
    </row>
    <row r="187" spans="1:3" x14ac:dyDescent="0.3">
      <c r="A187" t="s">
        <v>22</v>
      </c>
      <c r="B187" t="s">
        <v>19</v>
      </c>
      <c r="C187">
        <v>-46.751319634806634</v>
      </c>
    </row>
    <row r="188" spans="1:3" x14ac:dyDescent="0.3">
      <c r="A188" t="s">
        <v>22</v>
      </c>
      <c r="B188" t="s">
        <v>19</v>
      </c>
      <c r="C188">
        <v>-3.0749190095376027</v>
      </c>
    </row>
    <row r="189" spans="1:3" x14ac:dyDescent="0.3">
      <c r="A189" t="s">
        <v>22</v>
      </c>
      <c r="B189" t="s">
        <v>19</v>
      </c>
      <c r="C189">
        <v>23.644684080560044</v>
      </c>
    </row>
    <row r="190" spans="1:3" x14ac:dyDescent="0.3">
      <c r="A190" t="s">
        <v>22</v>
      </c>
      <c r="B190" t="s">
        <v>19</v>
      </c>
      <c r="C190">
        <v>-5.0327360050746321</v>
      </c>
    </row>
    <row r="191" spans="1:3" x14ac:dyDescent="0.3">
      <c r="A191" t="s">
        <v>22</v>
      </c>
      <c r="B191" t="s">
        <v>19</v>
      </c>
      <c r="C191">
        <v>-6.7934573299200194</v>
      </c>
    </row>
    <row r="192" spans="1:3" x14ac:dyDescent="0.3">
      <c r="A192" t="s">
        <v>22</v>
      </c>
      <c r="B192" t="s">
        <v>19</v>
      </c>
      <c r="C192">
        <v>-26.831517183570814</v>
      </c>
    </row>
    <row r="193" spans="1:3" x14ac:dyDescent="0.3">
      <c r="A193" t="s">
        <v>22</v>
      </c>
      <c r="B193" t="s">
        <v>19</v>
      </c>
      <c r="C193">
        <v>-12.404114088942238</v>
      </c>
    </row>
    <row r="194" spans="1:3" x14ac:dyDescent="0.3">
      <c r="A194" t="s">
        <v>22</v>
      </c>
      <c r="B194" t="s">
        <v>19</v>
      </c>
      <c r="C194">
        <v>14.46659568201899</v>
      </c>
    </row>
    <row r="195" spans="1:3" x14ac:dyDescent="0.3">
      <c r="A195" t="s">
        <v>22</v>
      </c>
      <c r="B195" t="s">
        <v>19</v>
      </c>
      <c r="C195">
        <v>-35.569425250900508</v>
      </c>
    </row>
    <row r="196" spans="1:3" x14ac:dyDescent="0.3">
      <c r="A196" t="s">
        <v>22</v>
      </c>
      <c r="B196" t="s">
        <v>19</v>
      </c>
      <c r="C196">
        <v>-4.48743798282774</v>
      </c>
    </row>
    <row r="197" spans="1:3" x14ac:dyDescent="0.3">
      <c r="A197" t="s">
        <v>22</v>
      </c>
      <c r="B197" t="s">
        <v>19</v>
      </c>
      <c r="C197">
        <v>3.0350467819034601</v>
      </c>
    </row>
    <row r="198" spans="1:3" x14ac:dyDescent="0.3">
      <c r="A198" t="s">
        <v>22</v>
      </c>
      <c r="B198" t="s">
        <v>19</v>
      </c>
      <c r="C198">
        <v>-62.256179062549542</v>
      </c>
    </row>
    <row r="199" spans="1:3" x14ac:dyDescent="0.3">
      <c r="A199" t="s">
        <v>22</v>
      </c>
      <c r="B199" t="s">
        <v>19</v>
      </c>
      <c r="C199">
        <v>-7.4175936204435606</v>
      </c>
    </row>
    <row r="200" spans="1:3" x14ac:dyDescent="0.3">
      <c r="A200" t="s">
        <v>22</v>
      </c>
      <c r="B200" t="s">
        <v>19</v>
      </c>
      <c r="C200">
        <v>-22.810765501461212</v>
      </c>
    </row>
    <row r="201" spans="1:3" x14ac:dyDescent="0.3">
      <c r="A201" t="s">
        <v>22</v>
      </c>
      <c r="B201" t="s">
        <v>19</v>
      </c>
      <c r="C201">
        <v>-6.7146190616433561</v>
      </c>
    </row>
    <row r="202" spans="1:3" x14ac:dyDescent="0.3">
      <c r="A202" t="s">
        <v>22</v>
      </c>
      <c r="B202" t="s">
        <v>19</v>
      </c>
      <c r="C202">
        <v>-17.186969031059544</v>
      </c>
    </row>
    <row r="203" spans="1:3" x14ac:dyDescent="0.3">
      <c r="A203" t="s">
        <v>22</v>
      </c>
      <c r="B203" t="s">
        <v>19</v>
      </c>
      <c r="C203">
        <v>-28.782764323418125</v>
      </c>
    </row>
    <row r="204" spans="1:3" x14ac:dyDescent="0.3">
      <c r="A204" t="s">
        <v>22</v>
      </c>
      <c r="B204" t="s">
        <v>19</v>
      </c>
      <c r="C204">
        <v>15.550621870823067</v>
      </c>
    </row>
    <row r="205" spans="1:3" x14ac:dyDescent="0.3">
      <c r="A205" t="s">
        <v>22</v>
      </c>
      <c r="B205" t="s">
        <v>19</v>
      </c>
      <c r="C205">
        <v>-46.2848598808364</v>
      </c>
    </row>
    <row r="206" spans="1:3" x14ac:dyDescent="0.3">
      <c r="A206" t="s">
        <v>22</v>
      </c>
      <c r="B206" t="s">
        <v>19</v>
      </c>
      <c r="C206">
        <v>142.1780204345167</v>
      </c>
    </row>
    <row r="207" spans="1:3" x14ac:dyDescent="0.3">
      <c r="A207" t="s">
        <v>22</v>
      </c>
      <c r="B207" t="s">
        <v>19</v>
      </c>
      <c r="C207">
        <v>142.1780204345167</v>
      </c>
    </row>
    <row r="208" spans="1:3" x14ac:dyDescent="0.3">
      <c r="A208" t="s">
        <v>22</v>
      </c>
      <c r="B208" t="s">
        <v>19</v>
      </c>
      <c r="C208">
        <v>109.38130083142661</v>
      </c>
    </row>
    <row r="209" spans="1:3" x14ac:dyDescent="0.3">
      <c r="A209" t="s">
        <v>22</v>
      </c>
      <c r="B209" t="s">
        <v>19</v>
      </c>
      <c r="C209">
        <v>-45.03001744409957</v>
      </c>
    </row>
    <row r="210" spans="1:3" x14ac:dyDescent="0.3">
      <c r="A210" t="s">
        <v>22</v>
      </c>
      <c r="B210" t="s">
        <v>19</v>
      </c>
      <c r="C210">
        <v>-38.263066083686361</v>
      </c>
    </row>
    <row r="211" spans="1:3" x14ac:dyDescent="0.3">
      <c r="A211" t="s">
        <v>22</v>
      </c>
      <c r="B211" t="s">
        <v>19</v>
      </c>
      <c r="C211">
        <v>-32.980902109150215</v>
      </c>
    </row>
    <row r="212" spans="1:3" x14ac:dyDescent="0.3">
      <c r="A212" t="s">
        <v>21</v>
      </c>
      <c r="B212" t="s">
        <v>18</v>
      </c>
      <c r="C212">
        <v>120.92375227667169</v>
      </c>
    </row>
    <row r="213" spans="1:3" x14ac:dyDescent="0.3">
      <c r="A213" t="s">
        <v>21</v>
      </c>
      <c r="B213" t="s">
        <v>18</v>
      </c>
      <c r="C213">
        <v>73.433676688490564</v>
      </c>
    </row>
    <row r="214" spans="1:3" x14ac:dyDescent="0.3">
      <c r="A214" t="s">
        <v>21</v>
      </c>
      <c r="B214" t="s">
        <v>18</v>
      </c>
      <c r="C214">
        <v>70.140255487694816</v>
      </c>
    </row>
    <row r="215" spans="1:3" x14ac:dyDescent="0.3">
      <c r="A215" t="s">
        <v>21</v>
      </c>
      <c r="B215" t="s">
        <v>18</v>
      </c>
      <c r="C215">
        <v>67.270085204270416</v>
      </c>
    </row>
    <row r="216" spans="1:3" x14ac:dyDescent="0.3">
      <c r="A216" t="s">
        <v>21</v>
      </c>
      <c r="B216" t="s">
        <v>18</v>
      </c>
      <c r="C216">
        <v>24.548195732100758</v>
      </c>
    </row>
    <row r="217" spans="1:3" x14ac:dyDescent="0.3">
      <c r="A217" t="s">
        <v>21</v>
      </c>
      <c r="B217" t="s">
        <v>18</v>
      </c>
      <c r="C217">
        <v>38.330303729005045</v>
      </c>
    </row>
    <row r="218" spans="1:3" x14ac:dyDescent="0.3">
      <c r="A218" t="s">
        <v>21</v>
      </c>
      <c r="B218" t="s">
        <v>18</v>
      </c>
      <c r="C218">
        <v>104.48971275061263</v>
      </c>
    </row>
    <row r="219" spans="1:3" x14ac:dyDescent="0.3">
      <c r="A219" t="s">
        <v>21</v>
      </c>
      <c r="B219" t="s">
        <v>18</v>
      </c>
      <c r="C219">
        <v>122.16705184645002</v>
      </c>
    </row>
    <row r="220" spans="1:3" x14ac:dyDescent="0.3">
      <c r="A220" t="s">
        <v>21</v>
      </c>
      <c r="B220" t="s">
        <v>18</v>
      </c>
      <c r="C220">
        <v>106.93001882108177</v>
      </c>
    </row>
    <row r="221" spans="1:3" x14ac:dyDescent="0.3">
      <c r="A221" t="s">
        <v>21</v>
      </c>
      <c r="B221" t="s">
        <v>18</v>
      </c>
      <c r="C221">
        <v>109.15869943286522</v>
      </c>
    </row>
    <row r="222" spans="1:3" x14ac:dyDescent="0.3">
      <c r="A222" t="s">
        <v>21</v>
      </c>
      <c r="B222" t="s">
        <v>18</v>
      </c>
      <c r="C222">
        <v>120.77164647824139</v>
      </c>
    </row>
    <row r="223" spans="1:3" x14ac:dyDescent="0.3">
      <c r="A223" t="s">
        <v>21</v>
      </c>
      <c r="B223" t="s">
        <v>18</v>
      </c>
      <c r="C223">
        <v>122.84822129159454</v>
      </c>
    </row>
    <row r="224" spans="1:3" x14ac:dyDescent="0.3">
      <c r="A224" t="s">
        <v>21</v>
      </c>
      <c r="B224" t="s">
        <v>18</v>
      </c>
      <c r="C224">
        <v>113.17296985230905</v>
      </c>
    </row>
    <row r="225" spans="1:3" x14ac:dyDescent="0.3">
      <c r="A225" t="s">
        <v>21</v>
      </c>
      <c r="B225" t="s">
        <v>18</v>
      </c>
      <c r="C225">
        <v>177.44097633691348</v>
      </c>
    </row>
    <row r="226" spans="1:3" x14ac:dyDescent="0.3">
      <c r="A226" t="s">
        <v>21</v>
      </c>
      <c r="B226" t="s">
        <v>18</v>
      </c>
      <c r="C226">
        <v>176.40930222582082</v>
      </c>
    </row>
    <row r="227" spans="1:3" x14ac:dyDescent="0.3">
      <c r="A227" t="s">
        <v>21</v>
      </c>
      <c r="B227" t="s">
        <v>18</v>
      </c>
      <c r="C227">
        <v>67.567683505547151</v>
      </c>
    </row>
    <row r="228" spans="1:3" x14ac:dyDescent="0.3">
      <c r="A228" t="s">
        <v>21</v>
      </c>
      <c r="B228" t="s">
        <v>18</v>
      </c>
      <c r="C228">
        <v>33.952302052445226</v>
      </c>
    </row>
    <row r="229" spans="1:3" x14ac:dyDescent="0.3">
      <c r="A229" t="s">
        <v>21</v>
      </c>
      <c r="B229" t="s">
        <v>18</v>
      </c>
      <c r="C229">
        <v>113.39120860657866</v>
      </c>
    </row>
    <row r="230" spans="1:3" x14ac:dyDescent="0.3">
      <c r="A230" t="s">
        <v>21</v>
      </c>
      <c r="B230" t="s">
        <v>18</v>
      </c>
      <c r="C230">
        <v>126.69715932144017</v>
      </c>
    </row>
    <row r="231" spans="1:3" x14ac:dyDescent="0.3">
      <c r="A231" t="s">
        <v>21</v>
      </c>
      <c r="B231" t="s">
        <v>18</v>
      </c>
      <c r="C231">
        <v>132.66896523372642</v>
      </c>
    </row>
    <row r="232" spans="1:3" x14ac:dyDescent="0.3">
      <c r="A232" t="s">
        <v>21</v>
      </c>
      <c r="B232" t="s">
        <v>18</v>
      </c>
      <c r="C232">
        <v>62.085261466471501</v>
      </c>
    </row>
    <row r="233" spans="1:3" x14ac:dyDescent="0.3">
      <c r="A233" t="s">
        <v>21</v>
      </c>
      <c r="B233" t="s">
        <v>18</v>
      </c>
      <c r="C233">
        <v>44.487281917641241</v>
      </c>
    </row>
    <row r="234" spans="1:3" x14ac:dyDescent="0.3">
      <c r="A234" t="s">
        <v>21</v>
      </c>
      <c r="B234" t="s">
        <v>18</v>
      </c>
      <c r="C234">
        <v>80.893474107160429</v>
      </c>
    </row>
    <row r="235" spans="1:3" x14ac:dyDescent="0.3">
      <c r="A235" t="s">
        <v>21</v>
      </c>
      <c r="B235" t="s">
        <v>18</v>
      </c>
      <c r="C235">
        <v>33.178546469125763</v>
      </c>
    </row>
    <row r="236" spans="1:3" x14ac:dyDescent="0.3">
      <c r="A236" t="s">
        <v>21</v>
      </c>
      <c r="B236" t="s">
        <v>18</v>
      </c>
      <c r="C236">
        <v>120.54679442838783</v>
      </c>
    </row>
    <row r="237" spans="1:3" x14ac:dyDescent="0.3">
      <c r="A237" t="s">
        <v>21</v>
      </c>
      <c r="B237" t="s">
        <v>18</v>
      </c>
      <c r="C237">
        <v>162.57428786424515</v>
      </c>
    </row>
    <row r="238" spans="1:3" x14ac:dyDescent="0.3">
      <c r="A238" t="s">
        <v>21</v>
      </c>
      <c r="B238" t="s">
        <v>18</v>
      </c>
      <c r="C238">
        <v>5.6606235444047162</v>
      </c>
    </row>
    <row r="239" spans="1:3" x14ac:dyDescent="0.3">
      <c r="A239" t="s">
        <v>21</v>
      </c>
      <c r="B239" t="s">
        <v>18</v>
      </c>
      <c r="C239">
        <v>22.24015557331019</v>
      </c>
    </row>
    <row r="240" spans="1:3" x14ac:dyDescent="0.3">
      <c r="A240" t="s">
        <v>21</v>
      </c>
      <c r="B240" t="s">
        <v>18</v>
      </c>
      <c r="C240">
        <v>125.53321929866897</v>
      </c>
    </row>
    <row r="241" spans="1:3" x14ac:dyDescent="0.3">
      <c r="A241" t="s">
        <v>21</v>
      </c>
      <c r="B241" t="s">
        <v>18</v>
      </c>
      <c r="C241">
        <v>56.596226131811925</v>
      </c>
    </row>
    <row r="242" spans="1:3" x14ac:dyDescent="0.3">
      <c r="A242" t="s">
        <v>21</v>
      </c>
      <c r="B242" t="s">
        <v>18</v>
      </c>
      <c r="C242">
        <v>190.19802351830904</v>
      </c>
    </row>
    <row r="243" spans="1:3" x14ac:dyDescent="0.3">
      <c r="A243" t="s">
        <v>21</v>
      </c>
      <c r="B243" t="s">
        <v>18</v>
      </c>
      <c r="C243">
        <v>142.8600537285582</v>
      </c>
    </row>
    <row r="244" spans="1:3" x14ac:dyDescent="0.3">
      <c r="A244" t="s">
        <v>21</v>
      </c>
      <c r="B244" t="s">
        <v>18</v>
      </c>
      <c r="C244">
        <v>144.26868568793469</v>
      </c>
    </row>
    <row r="245" spans="1:3" x14ac:dyDescent="0.3">
      <c r="A245" t="s">
        <v>21</v>
      </c>
      <c r="B245" t="s">
        <v>18</v>
      </c>
      <c r="C245">
        <v>112.22065528822355</v>
      </c>
    </row>
    <row r="246" spans="1:3" x14ac:dyDescent="0.3">
      <c r="A246" t="s">
        <v>21</v>
      </c>
      <c r="B246" t="s">
        <v>18</v>
      </c>
      <c r="C246">
        <v>100.21091050781175</v>
      </c>
    </row>
    <row r="247" spans="1:3" x14ac:dyDescent="0.3">
      <c r="A247" t="s">
        <v>21</v>
      </c>
      <c r="B247" t="s">
        <v>18</v>
      </c>
      <c r="C247">
        <v>134.40826197229924</v>
      </c>
    </row>
    <row r="248" spans="1:3" x14ac:dyDescent="0.3">
      <c r="A248" t="s">
        <v>21</v>
      </c>
      <c r="B248" t="s">
        <v>18</v>
      </c>
    </row>
    <row r="249" spans="1:3" x14ac:dyDescent="0.3">
      <c r="A249" t="s">
        <v>21</v>
      </c>
      <c r="B249" t="s">
        <v>18</v>
      </c>
    </row>
    <row r="250" spans="1:3" x14ac:dyDescent="0.3">
      <c r="A250" t="s">
        <v>21</v>
      </c>
      <c r="B250" t="s">
        <v>18</v>
      </c>
    </row>
    <row r="251" spans="1:3" x14ac:dyDescent="0.3">
      <c r="A251" t="s">
        <v>22</v>
      </c>
      <c r="B251" t="s">
        <v>18</v>
      </c>
      <c r="C251">
        <v>5.7089780476201417</v>
      </c>
    </row>
    <row r="252" spans="1:3" x14ac:dyDescent="0.3">
      <c r="A252" t="s">
        <v>22</v>
      </c>
      <c r="B252" t="s">
        <v>18</v>
      </c>
      <c r="C252">
        <v>51.113250719285951</v>
      </c>
    </row>
    <row r="253" spans="1:3" x14ac:dyDescent="0.3">
      <c r="A253" t="s">
        <v>22</v>
      </c>
      <c r="B253" t="s">
        <v>18</v>
      </c>
      <c r="C253">
        <v>42.257085249541255</v>
      </c>
    </row>
    <row r="254" spans="1:3" x14ac:dyDescent="0.3">
      <c r="A254" t="s">
        <v>22</v>
      </c>
      <c r="B254" t="s">
        <v>18</v>
      </c>
      <c r="C254">
        <v>-11.267529054620407</v>
      </c>
    </row>
    <row r="255" spans="1:3" x14ac:dyDescent="0.3">
      <c r="A255" t="s">
        <v>22</v>
      </c>
      <c r="B255" t="s">
        <v>18</v>
      </c>
      <c r="C255">
        <v>66.486713033234452</v>
      </c>
    </row>
    <row r="256" spans="1:3" x14ac:dyDescent="0.3">
      <c r="A256" t="s">
        <v>22</v>
      </c>
      <c r="B256" t="s">
        <v>18</v>
      </c>
      <c r="C256">
        <v>-10.794499444960458</v>
      </c>
    </row>
    <row r="257" spans="1:3" x14ac:dyDescent="0.3">
      <c r="A257" t="s">
        <v>22</v>
      </c>
      <c r="B257" t="s">
        <v>18</v>
      </c>
      <c r="C257">
        <v>65.343558143222893</v>
      </c>
    </row>
    <row r="258" spans="1:3" x14ac:dyDescent="0.3">
      <c r="A258" t="s">
        <v>22</v>
      </c>
      <c r="B258" t="s">
        <v>18</v>
      </c>
      <c r="C258">
        <v>20.806506422600332</v>
      </c>
    </row>
    <row r="259" spans="1:3" x14ac:dyDescent="0.3">
      <c r="A259" t="s">
        <v>22</v>
      </c>
      <c r="B259" t="s">
        <v>18</v>
      </c>
      <c r="C259">
        <v>147.01343422215177</v>
      </c>
    </row>
    <row r="260" spans="1:3" x14ac:dyDescent="0.3">
      <c r="A260" t="s">
        <v>22</v>
      </c>
      <c r="B260" t="s">
        <v>18</v>
      </c>
      <c r="C260">
        <v>63.871910468725254</v>
      </c>
    </row>
    <row r="261" spans="1:3" x14ac:dyDescent="0.3">
      <c r="A261" t="s">
        <v>22</v>
      </c>
      <c r="B261" t="s">
        <v>18</v>
      </c>
      <c r="C261">
        <v>-5.433497202147648</v>
      </c>
    </row>
    <row r="262" spans="1:3" x14ac:dyDescent="0.3">
      <c r="A262" t="s">
        <v>22</v>
      </c>
      <c r="B262" t="s">
        <v>18</v>
      </c>
      <c r="C262">
        <v>-20.156543802813694</v>
      </c>
    </row>
    <row r="263" spans="1:3" x14ac:dyDescent="0.3">
      <c r="A263" t="s">
        <v>22</v>
      </c>
      <c r="B263" t="s">
        <v>18</v>
      </c>
      <c r="C263">
        <v>-14.966357807933656</v>
      </c>
    </row>
    <row r="264" spans="1:3" x14ac:dyDescent="0.3">
      <c r="A264" t="s">
        <v>22</v>
      </c>
      <c r="B264" t="s">
        <v>18</v>
      </c>
      <c r="C264">
        <v>-14.966357807933656</v>
      </c>
    </row>
    <row r="265" spans="1:3" x14ac:dyDescent="0.3">
      <c r="A265" t="s">
        <v>22</v>
      </c>
      <c r="B265" t="s">
        <v>18</v>
      </c>
      <c r="C265">
        <v>209.20368818105621</v>
      </c>
    </row>
    <row r="266" spans="1:3" x14ac:dyDescent="0.3">
      <c r="A266" t="s">
        <v>22</v>
      </c>
      <c r="B266" t="s">
        <v>18</v>
      </c>
      <c r="C266">
        <v>56.973561994517596</v>
      </c>
    </row>
    <row r="267" spans="1:3" x14ac:dyDescent="0.3">
      <c r="A267" t="s">
        <v>22</v>
      </c>
      <c r="B267" t="s">
        <v>18</v>
      </c>
      <c r="C267">
        <v>85.572143811875605</v>
      </c>
    </row>
    <row r="268" spans="1:3" x14ac:dyDescent="0.3">
      <c r="A268" t="s">
        <v>22</v>
      </c>
      <c r="B268" t="s">
        <v>18</v>
      </c>
      <c r="C268">
        <v>60.113953014204505</v>
      </c>
    </row>
    <row r="269" spans="1:3" x14ac:dyDescent="0.3">
      <c r="A269" t="s">
        <v>22</v>
      </c>
      <c r="B269" t="s">
        <v>18</v>
      </c>
      <c r="C269">
        <v>88.916200357943893</v>
      </c>
    </row>
    <row r="270" spans="1:3" x14ac:dyDescent="0.3">
      <c r="A270" t="s">
        <v>22</v>
      </c>
      <c r="B270" t="s">
        <v>18</v>
      </c>
      <c r="C270">
        <v>47.55895879114658</v>
      </c>
    </row>
    <row r="271" spans="1:3" x14ac:dyDescent="0.3">
      <c r="A271" t="s">
        <v>22</v>
      </c>
      <c r="B271" t="s">
        <v>18</v>
      </c>
      <c r="C271">
        <v>-32.934913119322161</v>
      </c>
    </row>
    <row r="272" spans="1:3" x14ac:dyDescent="0.3">
      <c r="A272" t="s">
        <v>22</v>
      </c>
      <c r="B272" t="s">
        <v>18</v>
      </c>
      <c r="C272">
        <v>47.552388935456854</v>
      </c>
    </row>
    <row r="273" spans="1:3" x14ac:dyDescent="0.3">
      <c r="A273" t="s">
        <v>22</v>
      </c>
      <c r="B273" t="s">
        <v>18</v>
      </c>
      <c r="C273">
        <v>-20.839808794544744</v>
      </c>
    </row>
    <row r="274" spans="1:3" x14ac:dyDescent="0.3">
      <c r="A274" t="s">
        <v>22</v>
      </c>
      <c r="B274" t="s">
        <v>18</v>
      </c>
      <c r="C274">
        <v>-11.779977798418685</v>
      </c>
    </row>
    <row r="275" spans="1:3" x14ac:dyDescent="0.3">
      <c r="A275" t="s">
        <v>22</v>
      </c>
      <c r="B275" t="s">
        <v>18</v>
      </c>
      <c r="C275">
        <v>-31.732629528103111</v>
      </c>
    </row>
    <row r="276" spans="1:3" x14ac:dyDescent="0.3">
      <c r="A276" t="s">
        <v>22</v>
      </c>
      <c r="B276" t="s">
        <v>18</v>
      </c>
    </row>
    <row r="277" spans="1:3" x14ac:dyDescent="0.3">
      <c r="A277" t="s">
        <v>22</v>
      </c>
      <c r="B277" t="s">
        <v>18</v>
      </c>
    </row>
    <row r="278" spans="1:3" x14ac:dyDescent="0.3">
      <c r="A278" t="s">
        <v>22</v>
      </c>
      <c r="B278" t="s">
        <v>18</v>
      </c>
    </row>
    <row r="279" spans="1:3" x14ac:dyDescent="0.3">
      <c r="A279" t="s">
        <v>22</v>
      </c>
      <c r="B279" t="s">
        <v>18</v>
      </c>
    </row>
    <row r="280" spans="1:3" x14ac:dyDescent="0.3">
      <c r="A280" t="s">
        <v>22</v>
      </c>
      <c r="B280" t="s">
        <v>18</v>
      </c>
    </row>
    <row r="281" spans="1:3" x14ac:dyDescent="0.3">
      <c r="A281" t="s">
        <v>22</v>
      </c>
      <c r="B281" t="s">
        <v>18</v>
      </c>
    </row>
  </sheetData>
  <phoneticPr fontId="2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PRIMEIRO ENSAIO</vt:lpstr>
      <vt:lpstr>TERCEIRO ENSAIO</vt:lpstr>
      <vt:lpstr>COMPRIMENTO AEREO</vt:lpstr>
      <vt:lpstr>INIBICAO RAIZ</vt:lpstr>
      <vt:lpstr>COMPRIMENTO RAIZ</vt:lpstr>
      <vt:lpstr>INIBIÇÃO AEREA</vt:lpstr>
      <vt:lpstr>INIBIÇÃO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Vidal Santos</dc:creator>
  <cp:lastModifiedBy>Diego Vidal Santos</cp:lastModifiedBy>
  <dcterms:created xsi:type="dcterms:W3CDTF">2024-11-25T11:57:19Z</dcterms:created>
  <dcterms:modified xsi:type="dcterms:W3CDTF">2025-02-13T11:46:05Z</dcterms:modified>
</cp:coreProperties>
</file>