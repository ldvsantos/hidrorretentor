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1- UFS/2 - POS/2 - POS DOC/10 - PROJETOS ORIENTANDOS/1 - GOURD-FLOWER (PIBIC)/2 - DADOS/"/>
    </mc:Choice>
  </mc:AlternateContent>
  <xr:revisionPtr revIDLastSave="2" documentId="8_{1EDFC159-4C03-4141-B670-168DD98F9973}" xr6:coauthVersionLast="47" xr6:coauthVersionMax="47" xr10:uidLastSave="{31342725-2D56-4512-A286-E883DEB0B275}"/>
  <bookViews>
    <workbookView xWindow="-108" yWindow="-108" windowWidth="23256" windowHeight="12456" tabRatio="768" activeTab="1" xr2:uid="{00000000-000D-0000-FFFF-FFFF00000000}"/>
  </bookViews>
  <sheets>
    <sheet name="Planilha1" sheetId="16" r:id="rId1"/>
    <sheet name="DADOS B.O.D " sheetId="15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15" l="1"/>
  <c r="L26" i="15"/>
  <c r="K26" i="15"/>
  <c r="J26" i="15"/>
  <c r="I26" i="15"/>
  <c r="H26" i="15"/>
  <c r="G26" i="15"/>
  <c r="L17" i="15"/>
  <c r="K17" i="15"/>
  <c r="J17" i="15"/>
  <c r="I17" i="15"/>
  <c r="H17" i="15"/>
  <c r="G17" i="15"/>
  <c r="Q8" i="15"/>
  <c r="P17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Q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T27" i="15"/>
  <c r="L8" i="15"/>
  <c r="K8" i="15"/>
  <c r="J8" i="15"/>
  <c r="I8" i="15"/>
  <c r="H8" i="15"/>
  <c r="G8" i="15"/>
  <c r="O26" i="15"/>
  <c r="T18" i="15"/>
  <c r="Q26" i="15"/>
  <c r="P26" i="15"/>
  <c r="N26" i="15"/>
  <c r="M26" i="15"/>
  <c r="F26" i="15"/>
  <c r="E26" i="15"/>
  <c r="D26" i="15"/>
  <c r="C26" i="15"/>
  <c r="Q17" i="15"/>
  <c r="O17" i="15"/>
  <c r="N17" i="15"/>
  <c r="M17" i="15"/>
  <c r="F17" i="15"/>
  <c r="E17" i="15"/>
  <c r="D17" i="15"/>
  <c r="C17" i="15"/>
  <c r="P8" i="15"/>
  <c r="O8" i="15"/>
  <c r="N8" i="15"/>
  <c r="M8" i="15"/>
  <c r="F8" i="15"/>
  <c r="E8" i="15"/>
  <c r="D8" i="15"/>
  <c r="C8" i="15"/>
</calcChain>
</file>

<file path=xl/sharedStrings.xml><?xml version="1.0" encoding="utf-8"?>
<sst xmlns="http://schemas.openxmlformats.org/spreadsheetml/2006/main" count="124" uniqueCount="49">
  <si>
    <t>Trat.</t>
  </si>
  <si>
    <t>Repetição</t>
  </si>
  <si>
    <t>Germinação (dias)</t>
  </si>
  <si>
    <t>Comprimento radicular</t>
  </si>
  <si>
    <t>1a avaliação</t>
  </si>
  <si>
    <t>2a avaliação</t>
  </si>
  <si>
    <t>3a avaliação</t>
  </si>
  <si>
    <t>Média</t>
  </si>
  <si>
    <t>Dependência do substrato</t>
  </si>
  <si>
    <t>PURA</t>
  </si>
  <si>
    <t>SEM SOLVENTE</t>
  </si>
  <si>
    <t>SOLV+RESI</t>
  </si>
  <si>
    <t>Avanço germinativo(dias)</t>
  </si>
  <si>
    <t>4a avalição</t>
  </si>
  <si>
    <t>5a avaliação</t>
  </si>
  <si>
    <t>6a avaliação</t>
  </si>
  <si>
    <t>7a avaliação</t>
  </si>
  <si>
    <t>8a avaliação</t>
  </si>
  <si>
    <t>9a avaliação</t>
  </si>
  <si>
    <t>10a avaliação</t>
  </si>
  <si>
    <t>SÓ FOLHA</t>
  </si>
  <si>
    <t>P1</t>
  </si>
  <si>
    <t>P2</t>
  </si>
  <si>
    <t>P3</t>
  </si>
  <si>
    <t>P4</t>
  </si>
  <si>
    <t>P5</t>
  </si>
  <si>
    <t>SS1</t>
  </si>
  <si>
    <t>SS2</t>
  </si>
  <si>
    <t>SS3</t>
  </si>
  <si>
    <t>SS4</t>
  </si>
  <si>
    <t>SS5</t>
  </si>
  <si>
    <t>SR1</t>
  </si>
  <si>
    <t>SR2</t>
  </si>
  <si>
    <t>SR3</t>
  </si>
  <si>
    <t>SR4</t>
  </si>
  <si>
    <t>SR5</t>
  </si>
  <si>
    <t>A1</t>
  </si>
  <si>
    <t>A2</t>
  </si>
  <si>
    <t>A3</t>
  </si>
  <si>
    <t>A4</t>
  </si>
  <si>
    <t>A5</t>
  </si>
  <si>
    <t>Peso seco da plantula</t>
  </si>
  <si>
    <t>Peso úmido da plantula</t>
  </si>
  <si>
    <t>F1</t>
  </si>
  <si>
    <t>F2</t>
  </si>
  <si>
    <t>F3</t>
  </si>
  <si>
    <t>F4</t>
  </si>
  <si>
    <t>F5</t>
  </si>
  <si>
    <t>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</si>
</sst>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textRotation="255"/>
    </xf>
    <xf numFmtId="0" fontId="0" fillId="0" borderId="10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A81B-FA19-4476-8403-5604F9CFC1C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zoomScaleNormal="100" workbookViewId="0">
      <selection activeCell="Q44" sqref="A1:Q49"/>
    </sheetView>
  </sheetViews>
  <sheetFormatPr defaultColWidth="9.109375" defaultRowHeight="14.4" x14ac:dyDescent="0.3"/>
  <cols>
    <col min="2" max="2" width="11.33203125" customWidth="1"/>
    <col min="3" max="3" width="14.77734375" customWidth="1"/>
    <col min="4" max="4" width="15.77734375" style="3" hidden="1" customWidth="1"/>
    <col min="5" max="5" width="15.21875" style="3" hidden="1" customWidth="1"/>
    <col min="6" max="12" width="15.44140625" style="3" hidden="1" customWidth="1"/>
    <col min="13" max="13" width="14.5546875" style="3" hidden="1" customWidth="1"/>
    <col min="14" max="14" width="17.109375" customWidth="1"/>
    <col min="15" max="15" width="16.21875" customWidth="1"/>
    <col min="16" max="16" width="15.21875" customWidth="1"/>
    <col min="17" max="17" width="16.44140625" customWidth="1"/>
    <col min="18" max="18" width="15.77734375" customWidth="1"/>
    <col min="19" max="20" width="18.44140625" customWidth="1"/>
    <col min="21" max="22" width="13.44140625" customWidth="1"/>
    <col min="23" max="23" width="17.88671875" customWidth="1"/>
  </cols>
  <sheetData>
    <row r="1" spans="1:20" ht="14.4" customHeight="1" x14ac:dyDescent="0.3">
      <c r="A1" s="20" t="s">
        <v>0</v>
      </c>
      <c r="B1" s="9" t="s">
        <v>1</v>
      </c>
      <c r="C1" s="11" t="s">
        <v>2</v>
      </c>
      <c r="D1" s="13" t="s">
        <v>12</v>
      </c>
      <c r="E1" s="14"/>
      <c r="F1" s="14"/>
      <c r="G1" s="14"/>
      <c r="H1" s="14"/>
      <c r="I1" s="14"/>
      <c r="J1" s="14"/>
      <c r="K1" s="14"/>
      <c r="L1" s="14"/>
      <c r="M1" s="14"/>
      <c r="N1" s="11" t="s">
        <v>3</v>
      </c>
      <c r="O1" s="11" t="s">
        <v>42</v>
      </c>
      <c r="P1" s="11" t="s">
        <v>41</v>
      </c>
      <c r="Q1" s="5" t="s">
        <v>8</v>
      </c>
    </row>
    <row r="2" spans="1:20" x14ac:dyDescent="0.3">
      <c r="A2" s="16"/>
      <c r="B2" s="10"/>
      <c r="C2" s="12"/>
      <c r="D2" s="1" t="s">
        <v>4</v>
      </c>
      <c r="E2" s="1" t="s">
        <v>5</v>
      </c>
      <c r="F2" s="1" t="s">
        <v>6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2"/>
      <c r="O2" s="12"/>
      <c r="P2" s="12"/>
      <c r="Q2" s="5"/>
    </row>
    <row r="3" spans="1:20" ht="14.4" customHeight="1" x14ac:dyDescent="0.3">
      <c r="A3" s="17" t="s">
        <v>9</v>
      </c>
      <c r="B3" s="2" t="s">
        <v>21</v>
      </c>
      <c r="C3" s="2">
        <v>1</v>
      </c>
      <c r="D3" s="1">
        <v>16</v>
      </c>
      <c r="E3" s="1">
        <v>16</v>
      </c>
      <c r="F3" s="1">
        <v>16</v>
      </c>
      <c r="G3" s="1">
        <v>16</v>
      </c>
      <c r="H3" s="1">
        <v>16</v>
      </c>
      <c r="I3" s="1">
        <v>16</v>
      </c>
      <c r="J3" s="1">
        <v>17</v>
      </c>
      <c r="K3" s="1">
        <v>17</v>
      </c>
      <c r="L3" s="1">
        <v>17</v>
      </c>
      <c r="M3" s="1">
        <v>17</v>
      </c>
      <c r="N3" s="2"/>
      <c r="O3" s="2">
        <v>0.25850000000000001</v>
      </c>
      <c r="P3" s="2">
        <v>3.0800000000000001E-2</v>
      </c>
      <c r="Q3" s="2"/>
    </row>
    <row r="4" spans="1:20" x14ac:dyDescent="0.3">
      <c r="A4" s="17"/>
      <c r="B4" s="2" t="s">
        <v>22</v>
      </c>
      <c r="C4" s="2">
        <v>1</v>
      </c>
      <c r="D4" s="1">
        <v>18</v>
      </c>
      <c r="E4" s="1">
        <v>19</v>
      </c>
      <c r="F4" s="1">
        <v>19</v>
      </c>
      <c r="G4" s="1">
        <v>19</v>
      </c>
      <c r="H4" s="1">
        <v>19</v>
      </c>
      <c r="I4" s="1">
        <v>19</v>
      </c>
      <c r="J4" s="1">
        <v>19</v>
      </c>
      <c r="K4" s="1">
        <v>19</v>
      </c>
      <c r="L4" s="1">
        <v>19</v>
      </c>
      <c r="M4" s="1">
        <v>19</v>
      </c>
      <c r="N4" s="2"/>
      <c r="O4" s="2">
        <v>0.1197</v>
      </c>
      <c r="P4" s="2">
        <v>3.4700000000000002E-2</v>
      </c>
      <c r="Q4" s="2"/>
    </row>
    <row r="5" spans="1:20" ht="14.4" customHeight="1" x14ac:dyDescent="0.3">
      <c r="A5" s="17"/>
      <c r="B5" s="2" t="s">
        <v>23</v>
      </c>
      <c r="C5" s="2">
        <v>1</v>
      </c>
      <c r="D5" s="1">
        <v>19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2"/>
      <c r="O5" s="2">
        <v>0.3972</v>
      </c>
      <c r="P5" s="2">
        <v>2.63E-2</v>
      </c>
      <c r="Q5" s="2"/>
    </row>
    <row r="6" spans="1:20" x14ac:dyDescent="0.3">
      <c r="A6" s="17"/>
      <c r="B6" s="2" t="s">
        <v>24</v>
      </c>
      <c r="C6" s="2">
        <v>1</v>
      </c>
      <c r="D6" s="1">
        <v>15</v>
      </c>
      <c r="E6" s="1">
        <v>16</v>
      </c>
      <c r="F6" s="1">
        <v>16</v>
      </c>
      <c r="G6" s="1">
        <v>16</v>
      </c>
      <c r="H6" s="1">
        <v>17</v>
      </c>
      <c r="I6" s="1">
        <v>17</v>
      </c>
      <c r="J6" s="1">
        <v>17</v>
      </c>
      <c r="K6" s="1">
        <v>17</v>
      </c>
      <c r="L6" s="1">
        <v>18</v>
      </c>
      <c r="M6" s="1">
        <v>18</v>
      </c>
      <c r="N6" s="2"/>
      <c r="O6" s="2">
        <v>0.151</v>
      </c>
      <c r="P6" s="2">
        <v>2.92E-2</v>
      </c>
      <c r="Q6" s="2"/>
    </row>
    <row r="7" spans="1:20" ht="14.4" customHeight="1" x14ac:dyDescent="0.3">
      <c r="A7" s="17"/>
      <c r="B7" s="2" t="s">
        <v>25</v>
      </c>
      <c r="C7" s="2">
        <v>1</v>
      </c>
      <c r="D7" s="1">
        <v>19</v>
      </c>
      <c r="E7" s="1">
        <v>19</v>
      </c>
      <c r="F7" s="1">
        <v>19</v>
      </c>
      <c r="G7" s="1">
        <v>19</v>
      </c>
      <c r="H7" s="1">
        <v>19</v>
      </c>
      <c r="I7" s="1">
        <v>19</v>
      </c>
      <c r="J7" s="1">
        <v>19</v>
      </c>
      <c r="K7" s="1">
        <v>19</v>
      </c>
      <c r="L7" s="1">
        <v>19</v>
      </c>
      <c r="M7" s="1">
        <v>19</v>
      </c>
      <c r="N7" s="2"/>
      <c r="O7" s="2">
        <v>0.1152</v>
      </c>
      <c r="P7" s="2">
        <v>2.52E-2</v>
      </c>
      <c r="Q7" s="2"/>
    </row>
    <row r="8" spans="1:20" x14ac:dyDescent="0.3">
      <c r="A8" s="17"/>
      <c r="B8" s="2" t="s">
        <v>7</v>
      </c>
      <c r="C8" s="1">
        <f t="shared" ref="C8:Q8" si="0">AVERAGE(C3:C7)</f>
        <v>1</v>
      </c>
      <c r="D8" s="1">
        <f t="shared" si="0"/>
        <v>17.399999999999999</v>
      </c>
      <c r="E8" s="1">
        <f t="shared" si="0"/>
        <v>18</v>
      </c>
      <c r="F8" s="1">
        <f t="shared" si="0"/>
        <v>18</v>
      </c>
      <c r="G8" s="1">
        <f t="shared" si="0"/>
        <v>18</v>
      </c>
      <c r="H8" s="1">
        <f t="shared" si="0"/>
        <v>18.2</v>
      </c>
      <c r="I8" s="1">
        <f t="shared" si="0"/>
        <v>18.2</v>
      </c>
      <c r="J8" s="1">
        <f t="shared" si="0"/>
        <v>18.399999999999999</v>
      </c>
      <c r="K8" s="1">
        <f t="shared" si="0"/>
        <v>18.399999999999999</v>
      </c>
      <c r="L8" s="1">
        <f t="shared" si="0"/>
        <v>18.600000000000001</v>
      </c>
      <c r="M8" s="1">
        <f t="shared" si="0"/>
        <v>18.600000000000001</v>
      </c>
      <c r="N8" s="4" t="e">
        <f t="shared" si="0"/>
        <v>#DIV/0!</v>
      </c>
      <c r="O8" s="4">
        <f t="shared" si="0"/>
        <v>0.20832000000000001</v>
      </c>
      <c r="P8" s="4">
        <f t="shared" si="0"/>
        <v>2.9239999999999999E-2</v>
      </c>
      <c r="Q8" s="1" t="e">
        <f t="shared" si="0"/>
        <v>#DIV/0!</v>
      </c>
    </row>
    <row r="9" spans="1:20" x14ac:dyDescent="0.3">
      <c r="A9" s="17"/>
      <c r="T9" s="4"/>
    </row>
    <row r="10" spans="1:20" ht="28.8" x14ac:dyDescent="0.3">
      <c r="A10" s="17"/>
      <c r="B10" s="9" t="s">
        <v>1</v>
      </c>
      <c r="C10" s="11" t="s">
        <v>2</v>
      </c>
      <c r="D10" s="13" t="s">
        <v>12</v>
      </c>
      <c r="E10" s="14"/>
      <c r="F10" s="14"/>
      <c r="G10" s="14"/>
      <c r="H10" s="14"/>
      <c r="I10" s="14"/>
      <c r="J10" s="14"/>
      <c r="K10" s="14"/>
      <c r="L10" s="14"/>
      <c r="M10" s="14"/>
      <c r="N10" s="22" t="s">
        <v>3</v>
      </c>
      <c r="O10" s="22" t="s">
        <v>42</v>
      </c>
      <c r="P10" s="11" t="s">
        <v>41</v>
      </c>
      <c r="Q10" s="5" t="s">
        <v>8</v>
      </c>
    </row>
    <row r="11" spans="1:20" x14ac:dyDescent="0.3">
      <c r="A11" s="17"/>
      <c r="B11" s="10"/>
      <c r="C11" s="12"/>
      <c r="D11" s="1" t="s">
        <v>4</v>
      </c>
      <c r="E11" s="1" t="s">
        <v>5</v>
      </c>
      <c r="F11" s="1" t="s">
        <v>6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17</v>
      </c>
      <c r="L11" s="1" t="s">
        <v>18</v>
      </c>
      <c r="M11" s="1" t="s">
        <v>19</v>
      </c>
      <c r="N11" s="22"/>
      <c r="O11" s="22"/>
      <c r="P11" s="12"/>
      <c r="Q11" s="5"/>
    </row>
    <row r="12" spans="1:20" x14ac:dyDescent="0.3">
      <c r="A12" s="17"/>
      <c r="B12" s="2" t="s">
        <v>26</v>
      </c>
      <c r="C12" s="2">
        <v>1</v>
      </c>
      <c r="D12" s="1">
        <v>17</v>
      </c>
      <c r="E12" s="1">
        <v>18</v>
      </c>
      <c r="F12" s="1">
        <v>18</v>
      </c>
      <c r="G12" s="1">
        <v>18</v>
      </c>
      <c r="H12" s="1">
        <v>18</v>
      </c>
      <c r="I12" s="1">
        <v>18</v>
      </c>
      <c r="J12" s="1">
        <v>18</v>
      </c>
      <c r="K12" s="1">
        <v>19</v>
      </c>
      <c r="L12" s="1">
        <v>19</v>
      </c>
      <c r="M12" s="1">
        <v>19</v>
      </c>
      <c r="N12" s="2"/>
      <c r="O12" s="2">
        <v>0.3201</v>
      </c>
      <c r="P12" s="2">
        <v>2.0299999999999999E-2</v>
      </c>
      <c r="Q12" s="2"/>
    </row>
    <row r="13" spans="1:20" ht="30" customHeight="1" x14ac:dyDescent="0.3">
      <c r="A13" s="17"/>
      <c r="B13" s="2" t="s">
        <v>27</v>
      </c>
      <c r="C13" s="2">
        <v>1</v>
      </c>
      <c r="D13" s="1">
        <v>19</v>
      </c>
      <c r="E13" s="1">
        <v>19</v>
      </c>
      <c r="F13" s="1">
        <v>20</v>
      </c>
      <c r="G13" s="1">
        <v>20</v>
      </c>
      <c r="H13" s="1">
        <v>20</v>
      </c>
      <c r="I13" s="1">
        <v>20</v>
      </c>
      <c r="J13" s="1">
        <v>20</v>
      </c>
      <c r="K13" s="1">
        <v>20</v>
      </c>
      <c r="L13" s="1">
        <v>20</v>
      </c>
      <c r="M13" s="1">
        <v>20</v>
      </c>
      <c r="N13" s="2"/>
      <c r="O13" s="2">
        <v>0.11020000000000001</v>
      </c>
      <c r="P13" s="2">
        <v>2.1100000000000001E-2</v>
      </c>
      <c r="Q13" s="2"/>
    </row>
    <row r="14" spans="1:20" x14ac:dyDescent="0.3">
      <c r="B14" s="2" t="s">
        <v>28</v>
      </c>
      <c r="C14" s="2">
        <v>1</v>
      </c>
      <c r="D14" s="1">
        <v>20</v>
      </c>
      <c r="E14" s="1">
        <v>20</v>
      </c>
      <c r="F14" s="1">
        <v>20</v>
      </c>
      <c r="G14" s="1">
        <v>20</v>
      </c>
      <c r="H14" s="1">
        <v>20</v>
      </c>
      <c r="I14" s="1">
        <v>20</v>
      </c>
      <c r="J14" s="1">
        <v>20</v>
      </c>
      <c r="K14" s="1">
        <v>20</v>
      </c>
      <c r="L14" s="1">
        <v>20</v>
      </c>
      <c r="M14" s="1">
        <v>20</v>
      </c>
      <c r="N14" s="2"/>
      <c r="O14" s="2">
        <v>1.0868</v>
      </c>
      <c r="P14" s="2">
        <v>2.5100000000000001E-2</v>
      </c>
      <c r="Q14" s="2"/>
    </row>
    <row r="15" spans="1:20" ht="15" customHeight="1" x14ac:dyDescent="0.3">
      <c r="A15" s="20"/>
      <c r="B15" s="2" t="s">
        <v>29</v>
      </c>
      <c r="C15" s="2">
        <v>1</v>
      </c>
      <c r="D15" s="1">
        <v>18</v>
      </c>
      <c r="E15" s="1">
        <v>19</v>
      </c>
      <c r="F15" s="1">
        <v>19</v>
      </c>
      <c r="G15" s="1">
        <v>19</v>
      </c>
      <c r="H15" s="1">
        <v>19</v>
      </c>
      <c r="I15" s="1">
        <v>19</v>
      </c>
      <c r="J15" s="1">
        <v>20</v>
      </c>
      <c r="K15" s="1">
        <v>20</v>
      </c>
      <c r="L15" s="1">
        <v>20</v>
      </c>
      <c r="M15" s="1">
        <v>20</v>
      </c>
      <c r="N15" s="2"/>
      <c r="O15" s="2">
        <v>0.40450000000000003</v>
      </c>
      <c r="P15" s="2">
        <v>3.3399999999999999E-2</v>
      </c>
      <c r="Q15" s="2"/>
    </row>
    <row r="16" spans="1:20" x14ac:dyDescent="0.3">
      <c r="A16" s="16"/>
      <c r="B16" s="2" t="s">
        <v>30</v>
      </c>
      <c r="C16" s="2">
        <v>1</v>
      </c>
      <c r="D16" s="1">
        <v>19</v>
      </c>
      <c r="E16" s="1">
        <v>19</v>
      </c>
      <c r="F16" s="1">
        <v>19</v>
      </c>
      <c r="G16" s="1">
        <v>20</v>
      </c>
      <c r="H16" s="1">
        <v>20</v>
      </c>
      <c r="I16" s="1">
        <v>20</v>
      </c>
      <c r="J16" s="1">
        <v>20</v>
      </c>
      <c r="K16" s="1">
        <v>20</v>
      </c>
      <c r="L16" s="1">
        <v>20</v>
      </c>
      <c r="M16" s="1">
        <v>20</v>
      </c>
      <c r="N16" s="2"/>
      <c r="O16" s="2">
        <v>0.34849999999999998</v>
      </c>
      <c r="P16" s="2">
        <v>2.3699999999999999E-2</v>
      </c>
      <c r="Q16" s="2"/>
    </row>
    <row r="17" spans="1:20" x14ac:dyDescent="0.3">
      <c r="A17" s="18" t="s">
        <v>10</v>
      </c>
      <c r="B17" s="2" t="s">
        <v>7</v>
      </c>
      <c r="C17" s="1">
        <f t="shared" ref="C17:Q17" si="1">AVERAGE(C12:C16)</f>
        <v>1</v>
      </c>
      <c r="D17" s="1">
        <f t="shared" si="1"/>
        <v>18.600000000000001</v>
      </c>
      <c r="E17" s="1">
        <f t="shared" si="1"/>
        <v>19</v>
      </c>
      <c r="F17" s="1">
        <f t="shared" si="1"/>
        <v>19.2</v>
      </c>
      <c r="G17" s="1">
        <f t="shared" si="1"/>
        <v>19.399999999999999</v>
      </c>
      <c r="H17" s="1">
        <f t="shared" si="1"/>
        <v>19.399999999999999</v>
      </c>
      <c r="I17" s="1">
        <f t="shared" si="1"/>
        <v>19.399999999999999</v>
      </c>
      <c r="J17" s="1">
        <f t="shared" si="1"/>
        <v>19.600000000000001</v>
      </c>
      <c r="K17" s="1">
        <f t="shared" si="1"/>
        <v>19.8</v>
      </c>
      <c r="L17" s="1">
        <f t="shared" si="1"/>
        <v>19.8</v>
      </c>
      <c r="M17" s="1">
        <f t="shared" si="1"/>
        <v>19.8</v>
      </c>
      <c r="N17" s="4" t="e">
        <f t="shared" si="1"/>
        <v>#DIV/0!</v>
      </c>
      <c r="O17" s="4">
        <f t="shared" si="1"/>
        <v>0.45402000000000003</v>
      </c>
      <c r="P17" s="4">
        <f t="shared" si="1"/>
        <v>2.4719999999999999E-2</v>
      </c>
      <c r="Q17" s="1" t="e">
        <f t="shared" si="1"/>
        <v>#DIV/0!</v>
      </c>
    </row>
    <row r="18" spans="1:20" x14ac:dyDescent="0.3">
      <c r="A18" s="19"/>
      <c r="T18" s="4" t="e">
        <f>AVERAGE(#REF!)</f>
        <v>#REF!</v>
      </c>
    </row>
    <row r="19" spans="1:20" ht="28.8" x14ac:dyDescent="0.3">
      <c r="A19" s="19"/>
      <c r="B19" s="9" t="s">
        <v>1</v>
      </c>
      <c r="C19" s="11" t="s">
        <v>2</v>
      </c>
      <c r="D19" s="13" t="s">
        <v>12</v>
      </c>
      <c r="E19" s="14"/>
      <c r="F19" s="14"/>
      <c r="G19" s="14"/>
      <c r="H19" s="14"/>
      <c r="I19" s="14"/>
      <c r="J19" s="14"/>
      <c r="K19" s="14"/>
      <c r="L19" s="14"/>
      <c r="M19" s="21"/>
      <c r="N19" s="22" t="s">
        <v>3</v>
      </c>
      <c r="O19" s="22" t="s">
        <v>42</v>
      </c>
      <c r="P19" s="22" t="s">
        <v>41</v>
      </c>
      <c r="Q19" s="5" t="s">
        <v>8</v>
      </c>
    </row>
    <row r="20" spans="1:20" x14ac:dyDescent="0.3">
      <c r="A20" s="19"/>
      <c r="B20" s="10"/>
      <c r="C20" s="12"/>
      <c r="D20" s="1" t="s">
        <v>4</v>
      </c>
      <c r="E20" s="1" t="s">
        <v>5</v>
      </c>
      <c r="F20" s="1" t="s">
        <v>6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17</v>
      </c>
      <c r="L20" s="1" t="s">
        <v>18</v>
      </c>
      <c r="M20" s="1" t="s">
        <v>19</v>
      </c>
      <c r="N20" s="22"/>
      <c r="O20" s="22"/>
      <c r="P20" s="22"/>
      <c r="Q20" s="5"/>
    </row>
    <row r="21" spans="1:20" x14ac:dyDescent="0.3">
      <c r="A21" s="19"/>
      <c r="B21" s="2" t="s">
        <v>31</v>
      </c>
      <c r="C21" s="2">
        <v>1</v>
      </c>
      <c r="D21" s="1">
        <v>19</v>
      </c>
      <c r="E21" s="1">
        <v>20</v>
      </c>
      <c r="F21" s="1">
        <v>20</v>
      </c>
      <c r="G21" s="1">
        <v>20</v>
      </c>
      <c r="H21" s="1">
        <v>20</v>
      </c>
      <c r="I21" s="1">
        <v>20</v>
      </c>
      <c r="J21" s="1">
        <v>20</v>
      </c>
      <c r="K21" s="1">
        <v>20</v>
      </c>
      <c r="L21" s="1">
        <v>20</v>
      </c>
      <c r="M21" s="1">
        <v>20</v>
      </c>
      <c r="N21" s="2"/>
      <c r="O21" s="2">
        <v>0.37840000000000001</v>
      </c>
      <c r="P21" s="2">
        <v>2.1399999999999999E-2</v>
      </c>
      <c r="Q21" s="2"/>
    </row>
    <row r="22" spans="1:20" x14ac:dyDescent="0.3">
      <c r="A22" s="19"/>
      <c r="B22" s="2" t="s">
        <v>32</v>
      </c>
      <c r="C22" s="2">
        <v>1</v>
      </c>
      <c r="D22" s="1">
        <v>20</v>
      </c>
      <c r="E22" s="1">
        <v>20</v>
      </c>
      <c r="F22" s="1">
        <v>20</v>
      </c>
      <c r="G22" s="1">
        <v>20</v>
      </c>
      <c r="H22" s="1">
        <v>20</v>
      </c>
      <c r="I22" s="1">
        <v>20</v>
      </c>
      <c r="J22" s="1">
        <v>20</v>
      </c>
      <c r="K22" s="1">
        <v>20</v>
      </c>
      <c r="L22" s="1">
        <v>20</v>
      </c>
      <c r="M22" s="1">
        <v>20</v>
      </c>
      <c r="N22" s="2"/>
      <c r="O22" s="2">
        <v>0.25390000000000001</v>
      </c>
      <c r="P22" s="2">
        <v>1.7500000000000002E-2</v>
      </c>
      <c r="Q22" s="2"/>
    </row>
    <row r="23" spans="1:20" x14ac:dyDescent="0.3">
      <c r="B23" s="2" t="s">
        <v>33</v>
      </c>
      <c r="C23" s="2">
        <v>1</v>
      </c>
      <c r="D23" s="1">
        <v>18</v>
      </c>
      <c r="E23" s="1">
        <v>18</v>
      </c>
      <c r="F23" s="1">
        <v>18</v>
      </c>
      <c r="G23" s="1">
        <v>19</v>
      </c>
      <c r="H23" s="1">
        <v>19</v>
      </c>
      <c r="I23" s="1">
        <v>19</v>
      </c>
      <c r="J23" s="1">
        <v>20</v>
      </c>
      <c r="K23" s="1">
        <v>20</v>
      </c>
      <c r="L23" s="1">
        <v>20</v>
      </c>
      <c r="M23" s="1">
        <v>20</v>
      </c>
      <c r="N23" s="2"/>
      <c r="O23" s="2">
        <v>0.37630000000000002</v>
      </c>
      <c r="P23" s="2">
        <v>2.81E-2</v>
      </c>
      <c r="Q23" s="2"/>
    </row>
    <row r="24" spans="1:20" ht="15" customHeight="1" x14ac:dyDescent="0.3">
      <c r="A24" s="20" t="s">
        <v>0</v>
      </c>
      <c r="B24" s="2" t="s">
        <v>34</v>
      </c>
      <c r="C24" s="2">
        <v>1</v>
      </c>
      <c r="D24" s="1">
        <v>20</v>
      </c>
      <c r="E24" s="1">
        <v>20</v>
      </c>
      <c r="F24" s="1">
        <v>20</v>
      </c>
      <c r="G24" s="1">
        <v>20</v>
      </c>
      <c r="H24" s="1">
        <v>20</v>
      </c>
      <c r="I24" s="1">
        <v>20</v>
      </c>
      <c r="J24" s="1">
        <v>20</v>
      </c>
      <c r="K24" s="1">
        <v>20</v>
      </c>
      <c r="L24" s="1">
        <v>20</v>
      </c>
      <c r="M24" s="1">
        <v>20</v>
      </c>
      <c r="N24" s="2"/>
      <c r="O24" s="2">
        <v>8.2100000000000006E-2</v>
      </c>
      <c r="P24" s="2">
        <v>3.3099999999999997E-2</v>
      </c>
      <c r="Q24" s="2"/>
    </row>
    <row r="25" spans="1:20" x14ac:dyDescent="0.3">
      <c r="A25" s="16"/>
      <c r="B25" s="2" t="s">
        <v>35</v>
      </c>
      <c r="C25" s="2">
        <v>1</v>
      </c>
      <c r="D25" s="1">
        <v>19</v>
      </c>
      <c r="E25" s="1">
        <v>19</v>
      </c>
      <c r="F25" s="1">
        <v>19</v>
      </c>
      <c r="G25" s="1">
        <v>19</v>
      </c>
      <c r="H25" s="1">
        <v>19</v>
      </c>
      <c r="I25" s="1">
        <v>19</v>
      </c>
      <c r="J25" s="1">
        <v>19</v>
      </c>
      <c r="K25" s="1">
        <v>19</v>
      </c>
      <c r="L25" s="1">
        <v>19</v>
      </c>
      <c r="M25" s="1">
        <v>19</v>
      </c>
      <c r="N25" s="2"/>
      <c r="O25" s="2">
        <v>2.1100000000000001E-2</v>
      </c>
      <c r="P25" s="2">
        <v>3.0099999999999998E-2</v>
      </c>
      <c r="Q25" s="2"/>
    </row>
    <row r="26" spans="1:20" x14ac:dyDescent="0.3">
      <c r="A26" s="17" t="s">
        <v>11</v>
      </c>
      <c r="B26" s="2" t="s">
        <v>7</v>
      </c>
      <c r="C26" s="1">
        <f t="shared" ref="C26:Q26" si="2">AVERAGE(C21:C25)</f>
        <v>1</v>
      </c>
      <c r="D26" s="1">
        <f t="shared" si="2"/>
        <v>19.2</v>
      </c>
      <c r="E26" s="1">
        <f t="shared" si="2"/>
        <v>19.399999999999999</v>
      </c>
      <c r="F26" s="1">
        <f t="shared" si="2"/>
        <v>19.399999999999999</v>
      </c>
      <c r="G26" s="1">
        <f t="shared" si="2"/>
        <v>19.600000000000001</v>
      </c>
      <c r="H26" s="1">
        <f t="shared" si="2"/>
        <v>19.600000000000001</v>
      </c>
      <c r="I26" s="1">
        <f t="shared" si="2"/>
        <v>19.600000000000001</v>
      </c>
      <c r="J26" s="1">
        <f t="shared" si="2"/>
        <v>19.8</v>
      </c>
      <c r="K26" s="1">
        <f t="shared" si="2"/>
        <v>19.8</v>
      </c>
      <c r="L26" s="1">
        <f t="shared" si="2"/>
        <v>19.8</v>
      </c>
      <c r="M26" s="1">
        <f t="shared" si="2"/>
        <v>19.8</v>
      </c>
      <c r="N26" s="4" t="e">
        <f t="shared" si="2"/>
        <v>#DIV/0!</v>
      </c>
      <c r="O26" s="4">
        <f t="shared" si="2"/>
        <v>0.22236000000000003</v>
      </c>
      <c r="P26" s="4">
        <f t="shared" si="2"/>
        <v>2.6039999999999997E-2</v>
      </c>
      <c r="Q26" s="1" t="e">
        <f t="shared" si="2"/>
        <v>#DIV/0!</v>
      </c>
    </row>
    <row r="27" spans="1:20" x14ac:dyDescent="0.3">
      <c r="A27" s="17"/>
      <c r="T27" s="4" t="e">
        <f>AVERAGE(#REF!)</f>
        <v>#REF!</v>
      </c>
    </row>
    <row r="28" spans="1:20" ht="28.8" x14ac:dyDescent="0.3">
      <c r="A28" s="17"/>
      <c r="B28" s="9" t="s">
        <v>1</v>
      </c>
      <c r="C28" s="11" t="s">
        <v>2</v>
      </c>
      <c r="D28" s="13" t="s">
        <v>12</v>
      </c>
      <c r="E28" s="14"/>
      <c r="F28" s="14"/>
      <c r="G28" s="14"/>
      <c r="H28" s="14"/>
      <c r="I28" s="14"/>
      <c r="J28" s="14"/>
      <c r="K28" s="14"/>
      <c r="L28" s="14"/>
      <c r="M28" s="14"/>
      <c r="N28" s="11" t="s">
        <v>3</v>
      </c>
      <c r="O28" s="11" t="s">
        <v>42</v>
      </c>
      <c r="P28" s="11" t="s">
        <v>41</v>
      </c>
      <c r="Q28" s="5" t="s">
        <v>8</v>
      </c>
    </row>
    <row r="29" spans="1:20" x14ac:dyDescent="0.3">
      <c r="A29" s="17"/>
      <c r="B29" s="10"/>
      <c r="C29" s="12"/>
      <c r="D29" s="1" t="s">
        <v>4</v>
      </c>
      <c r="E29" s="1" t="s">
        <v>5</v>
      </c>
      <c r="F29" s="1" t="s">
        <v>6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17</v>
      </c>
      <c r="L29" s="1" t="s">
        <v>18</v>
      </c>
      <c r="M29" s="1" t="s">
        <v>19</v>
      </c>
      <c r="N29" s="12"/>
      <c r="O29" s="12"/>
      <c r="P29" s="12"/>
      <c r="Q29" s="5"/>
    </row>
    <row r="30" spans="1:20" x14ac:dyDescent="0.3">
      <c r="A30" s="17"/>
      <c r="B30" s="2" t="s">
        <v>36</v>
      </c>
      <c r="C30" s="2">
        <v>1</v>
      </c>
      <c r="D30" s="1">
        <v>17</v>
      </c>
      <c r="E30" s="1">
        <v>17</v>
      </c>
      <c r="F30" s="1">
        <v>17</v>
      </c>
      <c r="G30" s="1">
        <v>18</v>
      </c>
      <c r="H30" s="1">
        <v>18</v>
      </c>
      <c r="I30" s="1">
        <v>18</v>
      </c>
      <c r="J30" s="1">
        <v>18</v>
      </c>
      <c r="K30" s="1">
        <v>18</v>
      </c>
      <c r="L30" s="1">
        <v>18</v>
      </c>
      <c r="M30" s="1">
        <v>18</v>
      </c>
      <c r="N30" s="2"/>
      <c r="O30" s="2">
        <v>8.9399999999999993E-2</v>
      </c>
      <c r="P30" s="2">
        <v>1.2500000000000001E-2</v>
      </c>
      <c r="Q30" s="2"/>
    </row>
    <row r="31" spans="1:20" x14ac:dyDescent="0.3">
      <c r="A31" s="17"/>
      <c r="B31" s="2" t="s">
        <v>37</v>
      </c>
      <c r="C31" s="2">
        <v>1</v>
      </c>
      <c r="D31" s="1">
        <v>18</v>
      </c>
      <c r="E31" s="1">
        <v>18</v>
      </c>
      <c r="F31" s="1">
        <v>18</v>
      </c>
      <c r="G31" s="1">
        <v>20</v>
      </c>
      <c r="H31" s="1">
        <v>20</v>
      </c>
      <c r="I31" s="1">
        <v>20</v>
      </c>
      <c r="J31" s="1">
        <v>20</v>
      </c>
      <c r="K31" s="1">
        <v>20</v>
      </c>
      <c r="L31" s="1">
        <v>20</v>
      </c>
      <c r="M31" s="1">
        <v>20</v>
      </c>
      <c r="N31" s="2"/>
      <c r="O31" s="2">
        <v>0.2147</v>
      </c>
      <c r="P31" s="2">
        <v>1.55E-2</v>
      </c>
      <c r="Q31" s="2"/>
    </row>
    <row r="32" spans="1:20" x14ac:dyDescent="0.3">
      <c r="A32" s="17"/>
      <c r="B32" s="2" t="s">
        <v>38</v>
      </c>
      <c r="C32" s="2">
        <v>1</v>
      </c>
      <c r="D32" s="1">
        <v>17</v>
      </c>
      <c r="E32" s="1">
        <v>20</v>
      </c>
      <c r="F32" s="1">
        <v>20</v>
      </c>
      <c r="G32" s="1">
        <v>20</v>
      </c>
      <c r="H32" s="1">
        <v>20</v>
      </c>
      <c r="I32" s="1">
        <v>20</v>
      </c>
      <c r="J32" s="1">
        <v>20</v>
      </c>
      <c r="K32" s="1">
        <v>20</v>
      </c>
      <c r="L32" s="1">
        <v>20</v>
      </c>
      <c r="M32" s="1">
        <v>20</v>
      </c>
      <c r="N32" s="2"/>
      <c r="O32" s="2">
        <v>0.20519999999999999</v>
      </c>
      <c r="P32" s="2">
        <v>2.4500000000000001E-2</v>
      </c>
      <c r="Q32" s="2"/>
    </row>
    <row r="33" spans="1:20" x14ac:dyDescent="0.3">
      <c r="A33" s="17"/>
      <c r="B33" s="2" t="s">
        <v>39</v>
      </c>
      <c r="C33" s="2">
        <v>1</v>
      </c>
      <c r="D33" s="1">
        <v>20</v>
      </c>
      <c r="E33" s="1">
        <v>20</v>
      </c>
      <c r="F33" s="1">
        <v>20</v>
      </c>
      <c r="G33" s="1">
        <v>20</v>
      </c>
      <c r="H33" s="1">
        <v>20</v>
      </c>
      <c r="I33" s="1">
        <v>20</v>
      </c>
      <c r="J33" s="1">
        <v>20</v>
      </c>
      <c r="K33" s="1">
        <v>20</v>
      </c>
      <c r="L33" s="1">
        <v>20</v>
      </c>
      <c r="M33" s="1">
        <v>20</v>
      </c>
      <c r="N33" s="2"/>
      <c r="O33" s="2">
        <v>0.2321</v>
      </c>
      <c r="P33" s="2">
        <v>1.6299999999999999E-2</v>
      </c>
      <c r="Q33" s="2"/>
    </row>
    <row r="34" spans="1:20" ht="14.4" customHeight="1" x14ac:dyDescent="0.3">
      <c r="A34" s="17"/>
      <c r="B34" s="2" t="s">
        <v>40</v>
      </c>
      <c r="C34" s="2">
        <v>1</v>
      </c>
      <c r="D34" s="1">
        <v>15</v>
      </c>
      <c r="E34" s="1">
        <v>15</v>
      </c>
      <c r="F34" s="1">
        <v>16</v>
      </c>
      <c r="G34" s="1">
        <v>16</v>
      </c>
      <c r="H34" s="1">
        <v>16</v>
      </c>
      <c r="I34" s="1">
        <v>16</v>
      </c>
      <c r="J34" s="1">
        <v>16</v>
      </c>
      <c r="K34" s="1">
        <v>16</v>
      </c>
      <c r="L34" s="1">
        <v>16</v>
      </c>
      <c r="M34" s="1">
        <v>16</v>
      </c>
      <c r="N34" s="2"/>
      <c r="O34" s="2">
        <v>5.7200000000000001E-2</v>
      </c>
      <c r="P34" s="2">
        <v>1.3599999999999999E-2</v>
      </c>
      <c r="Q34" s="2"/>
    </row>
    <row r="35" spans="1:20" x14ac:dyDescent="0.3">
      <c r="A35" s="17"/>
      <c r="B35" s="2" t="s">
        <v>7</v>
      </c>
      <c r="C35" s="1">
        <f t="shared" ref="C35:Q35" si="3">AVERAGE(C30:C34)</f>
        <v>1</v>
      </c>
      <c r="D35" s="1">
        <f t="shared" si="3"/>
        <v>17.399999999999999</v>
      </c>
      <c r="E35" s="1">
        <f t="shared" si="3"/>
        <v>18</v>
      </c>
      <c r="F35" s="1">
        <f t="shared" si="3"/>
        <v>18.2</v>
      </c>
      <c r="G35" s="1">
        <f t="shared" si="3"/>
        <v>18.8</v>
      </c>
      <c r="H35" s="1">
        <f t="shared" si="3"/>
        <v>18.8</v>
      </c>
      <c r="I35" s="1">
        <f t="shared" si="3"/>
        <v>18.8</v>
      </c>
      <c r="J35" s="1">
        <f t="shared" si="3"/>
        <v>18.8</v>
      </c>
      <c r="K35" s="1">
        <f t="shared" si="3"/>
        <v>18.8</v>
      </c>
      <c r="L35" s="1">
        <f t="shared" si="3"/>
        <v>18.8</v>
      </c>
      <c r="M35" s="1">
        <f t="shared" si="3"/>
        <v>18.8</v>
      </c>
      <c r="N35" s="4" t="e">
        <f t="shared" si="3"/>
        <v>#DIV/0!</v>
      </c>
      <c r="O35" s="4">
        <f t="shared" si="3"/>
        <v>0.15972</v>
      </c>
      <c r="P35" s="2">
        <f t="shared" si="3"/>
        <v>1.6480000000000002E-2</v>
      </c>
      <c r="Q35" s="1" t="e">
        <f t="shared" si="3"/>
        <v>#DIV/0!</v>
      </c>
    </row>
    <row r="36" spans="1:20" x14ac:dyDescent="0.3">
      <c r="A36" s="17"/>
      <c r="T36" s="4"/>
    </row>
    <row r="37" spans="1:20" ht="28.8" x14ac:dyDescent="0.3">
      <c r="A37" s="15" t="s">
        <v>0</v>
      </c>
      <c r="B37" s="9" t="s">
        <v>1</v>
      </c>
      <c r="C37" s="11" t="s">
        <v>2</v>
      </c>
      <c r="D37" s="13" t="s">
        <v>12</v>
      </c>
      <c r="E37" s="14"/>
      <c r="F37" s="14"/>
      <c r="G37" s="14"/>
      <c r="H37" s="14"/>
      <c r="I37" s="14"/>
      <c r="J37" s="14"/>
      <c r="K37" s="14"/>
      <c r="L37" s="14"/>
      <c r="M37" s="14"/>
      <c r="N37" s="11" t="s">
        <v>3</v>
      </c>
      <c r="O37" s="11" t="s">
        <v>42</v>
      </c>
      <c r="P37" s="11" t="s">
        <v>41</v>
      </c>
      <c r="Q37" s="5" t="s">
        <v>8</v>
      </c>
    </row>
    <row r="38" spans="1:20" x14ac:dyDescent="0.3">
      <c r="A38" s="16"/>
      <c r="B38" s="10"/>
      <c r="C38" s="12"/>
      <c r="D38" s="1" t="s">
        <v>4</v>
      </c>
      <c r="E38" s="1" t="s">
        <v>5</v>
      </c>
      <c r="F38" s="1" t="s">
        <v>6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17</v>
      </c>
      <c r="L38" s="1" t="s">
        <v>18</v>
      </c>
      <c r="M38" s="1" t="s">
        <v>19</v>
      </c>
      <c r="N38" s="12"/>
      <c r="O38" s="12"/>
      <c r="P38" s="12"/>
      <c r="Q38" s="5"/>
    </row>
    <row r="39" spans="1:20" ht="14.4" customHeight="1" x14ac:dyDescent="0.3">
      <c r="A39" s="6" t="s">
        <v>48</v>
      </c>
      <c r="B39" s="2" t="s">
        <v>43</v>
      </c>
      <c r="C39" s="2">
        <v>1</v>
      </c>
      <c r="D39" s="1">
        <v>18</v>
      </c>
      <c r="E39" s="1">
        <v>18</v>
      </c>
      <c r="F39" s="1">
        <v>18</v>
      </c>
      <c r="G39" s="1">
        <v>18</v>
      </c>
      <c r="H39" s="1">
        <v>19</v>
      </c>
      <c r="I39" s="1">
        <v>19</v>
      </c>
      <c r="J39" s="1">
        <v>19</v>
      </c>
      <c r="K39" s="1">
        <v>19</v>
      </c>
      <c r="L39" s="1">
        <v>19</v>
      </c>
      <c r="M39" s="1">
        <v>19</v>
      </c>
      <c r="N39" s="2"/>
      <c r="O39" s="2">
        <v>6.0600000000000001E-2</v>
      </c>
      <c r="P39" s="2">
        <v>2.7799999999999998E-2</v>
      </c>
      <c r="Q39" s="2"/>
    </row>
    <row r="40" spans="1:20" x14ac:dyDescent="0.3">
      <c r="A40" s="7"/>
      <c r="B40" s="2" t="s">
        <v>44</v>
      </c>
      <c r="C40" s="2">
        <v>1</v>
      </c>
      <c r="D40" s="1">
        <v>19</v>
      </c>
      <c r="E40" s="1">
        <v>19</v>
      </c>
      <c r="F40" s="1">
        <v>19</v>
      </c>
      <c r="G40" s="1">
        <v>19</v>
      </c>
      <c r="H40" s="1">
        <v>19</v>
      </c>
      <c r="I40" s="1">
        <v>19</v>
      </c>
      <c r="J40" s="1">
        <v>19</v>
      </c>
      <c r="K40" s="1">
        <v>19</v>
      </c>
      <c r="L40" s="1">
        <v>19</v>
      </c>
      <c r="M40" s="1">
        <v>19</v>
      </c>
      <c r="N40" s="2"/>
      <c r="O40" s="2">
        <v>0.36009999999999998</v>
      </c>
      <c r="P40" s="2">
        <v>3.09E-2</v>
      </c>
      <c r="Q40" s="2"/>
    </row>
    <row r="41" spans="1:20" x14ac:dyDescent="0.3">
      <c r="A41" s="7"/>
      <c r="B41" s="2" t="s">
        <v>45</v>
      </c>
      <c r="C41" s="2">
        <v>1</v>
      </c>
      <c r="D41" s="1">
        <v>20</v>
      </c>
      <c r="E41" s="1">
        <v>20</v>
      </c>
      <c r="F41" s="1">
        <v>20</v>
      </c>
      <c r="G41" s="1">
        <v>20</v>
      </c>
      <c r="H41" s="1">
        <v>20</v>
      </c>
      <c r="I41" s="1">
        <v>20</v>
      </c>
      <c r="J41" s="1">
        <v>20</v>
      </c>
      <c r="K41" s="1">
        <v>20</v>
      </c>
      <c r="L41" s="1">
        <v>20</v>
      </c>
      <c r="M41" s="1">
        <v>20</v>
      </c>
      <c r="N41" s="2"/>
      <c r="O41" s="2">
        <v>0.2326</v>
      </c>
      <c r="P41" s="2">
        <v>2.06E-2</v>
      </c>
      <c r="Q41" s="2"/>
    </row>
    <row r="42" spans="1:20" ht="14.4" customHeight="1" x14ac:dyDescent="0.3">
      <c r="A42" s="7"/>
      <c r="B42" s="2" t="s">
        <v>46</v>
      </c>
      <c r="C42" s="2">
        <v>1</v>
      </c>
      <c r="D42" s="1">
        <v>18</v>
      </c>
      <c r="E42" s="1">
        <v>18</v>
      </c>
      <c r="F42" s="1">
        <v>19</v>
      </c>
      <c r="G42" s="1">
        <v>19</v>
      </c>
      <c r="H42" s="1">
        <v>19</v>
      </c>
      <c r="I42" s="1">
        <v>19</v>
      </c>
      <c r="J42" s="1">
        <v>19</v>
      </c>
      <c r="K42" s="1">
        <v>19</v>
      </c>
      <c r="L42" s="1">
        <v>19</v>
      </c>
      <c r="M42" s="1">
        <v>19</v>
      </c>
      <c r="N42" s="2"/>
      <c r="O42" s="2">
        <v>0.23219999999999999</v>
      </c>
      <c r="P42" s="2">
        <v>1.67E-2</v>
      </c>
      <c r="Q42" s="2"/>
    </row>
    <row r="43" spans="1:20" x14ac:dyDescent="0.3">
      <c r="A43" s="7"/>
      <c r="B43" s="2" t="s">
        <v>47</v>
      </c>
      <c r="C43" s="2">
        <v>1</v>
      </c>
      <c r="D43" s="1">
        <v>18</v>
      </c>
      <c r="E43" s="1">
        <v>19</v>
      </c>
      <c r="F43" s="1">
        <v>19</v>
      </c>
      <c r="G43" s="1">
        <v>19</v>
      </c>
      <c r="H43" s="1">
        <v>19</v>
      </c>
      <c r="I43" s="1">
        <v>19</v>
      </c>
      <c r="J43" s="1">
        <v>19</v>
      </c>
      <c r="K43" s="1">
        <v>19</v>
      </c>
      <c r="L43" s="1">
        <v>19</v>
      </c>
      <c r="M43" s="1">
        <v>19</v>
      </c>
      <c r="N43" s="2"/>
      <c r="O43" s="2">
        <v>0.38750000000000001</v>
      </c>
      <c r="P43" s="2">
        <v>2.92E-2</v>
      </c>
      <c r="Q43" s="2"/>
    </row>
    <row r="44" spans="1:20" x14ac:dyDescent="0.3">
      <c r="A44" s="7"/>
      <c r="B44" s="2" t="s">
        <v>7</v>
      </c>
      <c r="C44" s="1">
        <f t="shared" ref="C44:Q44" si="4">AVERAGE(C39:C43)</f>
        <v>1</v>
      </c>
      <c r="D44" s="1">
        <f t="shared" si="4"/>
        <v>18.600000000000001</v>
      </c>
      <c r="E44" s="1">
        <f t="shared" si="4"/>
        <v>18.8</v>
      </c>
      <c r="F44" s="1">
        <f t="shared" si="4"/>
        <v>19</v>
      </c>
      <c r="G44" s="1">
        <f t="shared" si="4"/>
        <v>19</v>
      </c>
      <c r="H44" s="1">
        <f t="shared" si="4"/>
        <v>19.2</v>
      </c>
      <c r="I44" s="1">
        <f t="shared" si="4"/>
        <v>19.2</v>
      </c>
      <c r="J44" s="1">
        <f t="shared" si="4"/>
        <v>19.2</v>
      </c>
      <c r="K44" s="1">
        <f t="shared" si="4"/>
        <v>19.2</v>
      </c>
      <c r="L44" s="1">
        <f t="shared" si="4"/>
        <v>19.2</v>
      </c>
      <c r="M44" s="1">
        <f t="shared" si="4"/>
        <v>19.2</v>
      </c>
      <c r="N44" s="4" t="e">
        <f t="shared" si="4"/>
        <v>#DIV/0!</v>
      </c>
      <c r="O44" s="4">
        <f t="shared" si="4"/>
        <v>0.25459999999999999</v>
      </c>
      <c r="P44" s="4">
        <f t="shared" si="4"/>
        <v>2.504E-2</v>
      </c>
      <c r="Q44" s="1" t="e">
        <f t="shared" si="4"/>
        <v>#DIV/0!</v>
      </c>
    </row>
    <row r="45" spans="1:20" x14ac:dyDescent="0.3">
      <c r="A45" s="7"/>
    </row>
    <row r="46" spans="1:20" x14ac:dyDescent="0.3">
      <c r="A46" s="7"/>
      <c r="D46"/>
      <c r="E46"/>
      <c r="F46"/>
      <c r="G46"/>
      <c r="H46"/>
      <c r="I46"/>
      <c r="J46"/>
      <c r="K46"/>
      <c r="L46"/>
      <c r="M46"/>
    </row>
    <row r="47" spans="1:20" x14ac:dyDescent="0.3">
      <c r="A47" s="7"/>
      <c r="D47"/>
      <c r="E47"/>
      <c r="F47"/>
      <c r="G47"/>
      <c r="H47"/>
      <c r="I47"/>
      <c r="J47"/>
      <c r="K47"/>
      <c r="L47"/>
      <c r="M47"/>
    </row>
    <row r="48" spans="1:20" x14ac:dyDescent="0.3">
      <c r="A48" s="7"/>
      <c r="D48"/>
      <c r="E48"/>
      <c r="F48"/>
      <c r="G48"/>
      <c r="H48"/>
      <c r="I48"/>
      <c r="J48"/>
      <c r="K48"/>
      <c r="L48"/>
      <c r="M48"/>
    </row>
    <row r="49" spans="1:13" x14ac:dyDescent="0.3">
      <c r="A49" s="8"/>
      <c r="D49"/>
      <c r="E49"/>
      <c r="F49"/>
      <c r="G49"/>
      <c r="H49"/>
      <c r="I49"/>
      <c r="J49"/>
      <c r="K49"/>
      <c r="L49"/>
      <c r="M49"/>
    </row>
    <row r="50" spans="1:13" x14ac:dyDescent="0.3">
      <c r="A50" s="15" t="s">
        <v>0</v>
      </c>
      <c r="D50"/>
      <c r="E50"/>
      <c r="F50"/>
      <c r="G50"/>
      <c r="H50"/>
      <c r="I50"/>
      <c r="J50"/>
      <c r="K50"/>
      <c r="L50"/>
      <c r="M50"/>
    </row>
    <row r="51" spans="1:13" x14ac:dyDescent="0.3">
      <c r="A51" s="16"/>
      <c r="D51"/>
      <c r="E51"/>
      <c r="F51"/>
      <c r="G51"/>
      <c r="H51"/>
      <c r="I51"/>
      <c r="J51"/>
      <c r="K51"/>
      <c r="L51"/>
      <c r="M51"/>
    </row>
    <row r="52" spans="1:13" x14ac:dyDescent="0.3">
      <c r="A52" s="6" t="s">
        <v>20</v>
      </c>
      <c r="D52"/>
      <c r="E52"/>
      <c r="F52"/>
      <c r="G52"/>
      <c r="H52"/>
      <c r="I52"/>
      <c r="J52"/>
      <c r="K52"/>
      <c r="L52"/>
      <c r="M52"/>
    </row>
    <row r="53" spans="1:13" x14ac:dyDescent="0.3">
      <c r="A53" s="7"/>
      <c r="D53"/>
      <c r="E53"/>
      <c r="F53"/>
      <c r="G53"/>
      <c r="H53"/>
      <c r="I53"/>
      <c r="J53"/>
      <c r="K53"/>
      <c r="L53"/>
      <c r="M53"/>
    </row>
    <row r="54" spans="1:13" x14ac:dyDescent="0.3">
      <c r="A54" s="7"/>
    </row>
    <row r="55" spans="1:13" x14ac:dyDescent="0.3">
      <c r="A55" s="7"/>
    </row>
    <row r="56" spans="1:13" x14ac:dyDescent="0.3">
      <c r="A56" s="7"/>
    </row>
    <row r="57" spans="1:13" x14ac:dyDescent="0.3">
      <c r="A57" s="7"/>
    </row>
    <row r="58" spans="1:13" x14ac:dyDescent="0.3">
      <c r="A58" s="7"/>
    </row>
    <row r="59" spans="1:13" x14ac:dyDescent="0.3">
      <c r="A59" s="7"/>
    </row>
    <row r="60" spans="1:13" x14ac:dyDescent="0.3">
      <c r="A60" s="7"/>
    </row>
    <row r="61" spans="1:13" x14ac:dyDescent="0.3">
      <c r="A61" s="7"/>
    </row>
    <row r="62" spans="1:13" x14ac:dyDescent="0.3">
      <c r="A62" s="8"/>
    </row>
  </sheetData>
  <mergeCells count="40">
    <mergeCell ref="N1:N2"/>
    <mergeCell ref="O1:O2"/>
    <mergeCell ref="P1:P2"/>
    <mergeCell ref="A1:A2"/>
    <mergeCell ref="B1:B2"/>
    <mergeCell ref="C1:C2"/>
    <mergeCell ref="D1:M1"/>
    <mergeCell ref="A3:A13"/>
    <mergeCell ref="A15:A16"/>
    <mergeCell ref="B10:B11"/>
    <mergeCell ref="C10:C11"/>
    <mergeCell ref="D10:M10"/>
    <mergeCell ref="D19:M19"/>
    <mergeCell ref="N19:N20"/>
    <mergeCell ref="P19:P20"/>
    <mergeCell ref="O19:O20"/>
    <mergeCell ref="P10:P11"/>
    <mergeCell ref="N10:N11"/>
    <mergeCell ref="O10:O11"/>
    <mergeCell ref="A17:A22"/>
    <mergeCell ref="A24:A25"/>
    <mergeCell ref="B19:B20"/>
    <mergeCell ref="C19:C20"/>
    <mergeCell ref="C28:C29"/>
    <mergeCell ref="D28:M28"/>
    <mergeCell ref="N28:N29"/>
    <mergeCell ref="O28:O29"/>
    <mergeCell ref="P28:P29"/>
    <mergeCell ref="A39:A49"/>
    <mergeCell ref="A37:A38"/>
    <mergeCell ref="O37:O38"/>
    <mergeCell ref="P37:P38"/>
    <mergeCell ref="B28:B29"/>
    <mergeCell ref="A26:A36"/>
    <mergeCell ref="A52:A62"/>
    <mergeCell ref="B37:B38"/>
    <mergeCell ref="C37:C38"/>
    <mergeCell ref="D37:M37"/>
    <mergeCell ref="N37:N38"/>
    <mergeCell ref="A50:A5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DADOS B.O.D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Revisor</dc:creator>
  <cp:keywords/>
  <dc:description/>
  <cp:lastModifiedBy>Diego Vidal Santos</cp:lastModifiedBy>
  <cp:revision/>
  <dcterms:created xsi:type="dcterms:W3CDTF">2014-02-03T18:25:59Z</dcterms:created>
  <dcterms:modified xsi:type="dcterms:W3CDTF">2025-04-06T20:53:11Z</dcterms:modified>
</cp:coreProperties>
</file>