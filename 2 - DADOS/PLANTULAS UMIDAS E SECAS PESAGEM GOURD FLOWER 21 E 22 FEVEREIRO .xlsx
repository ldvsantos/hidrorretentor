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0 - PROJETOS ORIENTANDOS/1 - GOURD-FLOWER (PIBIC)/2 - DADOS/"/>
    </mc:Choice>
  </mc:AlternateContent>
  <xr:revisionPtr revIDLastSave="107" documentId="8_{7068D7AE-438D-43EF-9548-04C3CD890AEC}" xr6:coauthVersionLast="47" xr6:coauthVersionMax="47" xr10:uidLastSave="{76CA28F0-8912-4003-AF40-87B0CEB68D8F}"/>
  <bookViews>
    <workbookView xWindow="-108" yWindow="-108" windowWidth="23256" windowHeight="12456" xr2:uid="{3567BBE4-EC57-4842-9E35-6CDA64532F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42" i="1" a="1"/>
  <c r="E42" i="1" s="1"/>
  <c r="E47" i="1" a="1"/>
  <c r="E47" i="1" s="1"/>
  <c r="E32" i="1" a="1"/>
  <c r="E32" i="1" s="1"/>
  <c r="E27" i="1" a="1"/>
  <c r="E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<sst xmlns="http://schemas.openxmlformats.org/spreadsheetml/2006/main" count="155" uniqueCount="17">
  <si>
    <t>I</t>
  </si>
  <si>
    <t xml:space="preserve">SEM SOLVENTE </t>
  </si>
  <si>
    <t>II</t>
  </si>
  <si>
    <t>III</t>
  </si>
  <si>
    <t>IV</t>
  </si>
  <si>
    <t>V</t>
  </si>
  <si>
    <t>SOLV+RESI</t>
  </si>
  <si>
    <t xml:space="preserve">AGUA DESTILADA </t>
  </si>
  <si>
    <t>PURA</t>
  </si>
  <si>
    <t>FOLHA</t>
  </si>
  <si>
    <t>UMIDA</t>
  </si>
  <si>
    <t>SECAS</t>
  </si>
  <si>
    <t>VARIAVEL</t>
  </si>
  <si>
    <t>ESTADO</t>
  </si>
  <si>
    <t>REP</t>
  </si>
  <si>
    <t>QUANT.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</si>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</sst>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2E79-A21D-4242-B2D1-D5EFE92B8860}">
  <dimension ref="A1:E51"/>
  <sheetViews>
    <sheetView tabSelected="1" topLeftCell="A27" workbookViewId="0">
      <selection activeCell="I41" sqref="I41"/>
    </sheetView>
  </sheetViews>
  <sheetFormatPr defaultRowHeight="14.4" x14ac:dyDescent="0.3"/>
  <cols>
    <col min="1" max="1" width="15.44140625" bestFit="1" customWidth="1"/>
    <col min="2" max="2" width="7.5546875" bestFit="1" customWidth="1"/>
    <col min="3" max="3" width="4.21875" bestFit="1" customWidth="1"/>
    <col min="5" max="5" width="11.66406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</v>
      </c>
      <c r="B2" t="s">
        <v>10</v>
      </c>
      <c r="C2" t="s">
        <v>0</v>
      </c>
      <c r="D2">
        <v>0.37840000000000001</v>
      </c>
    </row>
    <row r="3" spans="1:5" x14ac:dyDescent="0.3">
      <c r="A3" t="s">
        <v>1</v>
      </c>
      <c r="B3" t="s">
        <v>10</v>
      </c>
      <c r="C3" t="s">
        <v>2</v>
      </c>
      <c r="D3">
        <v>0.25390000000000001</v>
      </c>
    </row>
    <row r="4" spans="1:5" x14ac:dyDescent="0.3">
      <c r="A4" t="s">
        <v>1</v>
      </c>
      <c r="B4" t="s">
        <v>10</v>
      </c>
      <c r="C4" t="s">
        <v>3</v>
      </c>
      <c r="D4">
        <v>0.37630000000000002</v>
      </c>
    </row>
    <row r="5" spans="1:5" x14ac:dyDescent="0.3">
      <c r="A5" t="s">
        <v>1</v>
      </c>
      <c r="B5" t="s">
        <v>10</v>
      </c>
      <c r="C5" t="s">
        <v>4</v>
      </c>
      <c r="D5">
        <v>8.2100000000000006E-2</v>
      </c>
    </row>
    <row r="6" spans="1:5" x14ac:dyDescent="0.3">
      <c r="A6" t="s">
        <v>1</v>
      </c>
      <c r="B6" t="s">
        <v>10</v>
      </c>
      <c r="C6" t="s">
        <v>5</v>
      </c>
      <c r="D6">
        <v>2.1100000000000001E-2</v>
      </c>
    </row>
    <row r="7" spans="1:5" x14ac:dyDescent="0.3">
      <c r="A7" t="s">
        <v>6</v>
      </c>
      <c r="B7" t="s">
        <v>10</v>
      </c>
      <c r="C7" t="s">
        <v>0</v>
      </c>
      <c r="D7">
        <v>0.3201</v>
      </c>
    </row>
    <row r="8" spans="1:5" x14ac:dyDescent="0.3">
      <c r="A8" t="s">
        <v>6</v>
      </c>
      <c r="B8" t="s">
        <v>10</v>
      </c>
      <c r="C8" t="s">
        <v>2</v>
      </c>
      <c r="D8">
        <v>0.11020000000000001</v>
      </c>
    </row>
    <row r="9" spans="1:5" x14ac:dyDescent="0.3">
      <c r="A9" t="s">
        <v>6</v>
      </c>
      <c r="B9" t="s">
        <v>10</v>
      </c>
      <c r="C9" t="s">
        <v>3</v>
      </c>
      <c r="D9">
        <v>0.87250000000000005</v>
      </c>
    </row>
    <row r="10" spans="1:5" x14ac:dyDescent="0.3">
      <c r="A10" t="s">
        <v>6</v>
      </c>
      <c r="B10" t="s">
        <v>10</v>
      </c>
      <c r="C10" t="s">
        <v>4</v>
      </c>
      <c r="D10">
        <v>0.40450000000000003</v>
      </c>
    </row>
    <row r="11" spans="1:5" x14ac:dyDescent="0.3">
      <c r="A11" t="s">
        <v>6</v>
      </c>
      <c r="B11" t="s">
        <v>10</v>
      </c>
      <c r="C11" t="s">
        <v>5</v>
      </c>
      <c r="D11">
        <v>0.34849999999999998</v>
      </c>
    </row>
    <row r="12" spans="1:5" x14ac:dyDescent="0.3">
      <c r="A12" t="s">
        <v>7</v>
      </c>
      <c r="B12" t="s">
        <v>10</v>
      </c>
      <c r="C12" t="s">
        <v>0</v>
      </c>
      <c r="D12">
        <v>8.9399999999999993E-2</v>
      </c>
    </row>
    <row r="13" spans="1:5" x14ac:dyDescent="0.3">
      <c r="A13" t="s">
        <v>7</v>
      </c>
      <c r="B13" t="s">
        <v>10</v>
      </c>
      <c r="C13" t="s">
        <v>2</v>
      </c>
      <c r="D13">
        <v>0.2147</v>
      </c>
    </row>
    <row r="14" spans="1:5" x14ac:dyDescent="0.3">
      <c r="A14" t="s">
        <v>7</v>
      </c>
      <c r="B14" t="s">
        <v>10</v>
      </c>
      <c r="C14" t="s">
        <v>3</v>
      </c>
      <c r="D14">
        <v>0.20519999999999999</v>
      </c>
    </row>
    <row r="15" spans="1:5" x14ac:dyDescent="0.3">
      <c r="A15" t="s">
        <v>7</v>
      </c>
      <c r="B15" t="s">
        <v>10</v>
      </c>
      <c r="C15" t="s">
        <v>4</v>
      </c>
      <c r="D15">
        <v>0.2321</v>
      </c>
    </row>
    <row r="16" spans="1:5" x14ac:dyDescent="0.3">
      <c r="A16" t="s">
        <v>7</v>
      </c>
      <c r="B16" t="s">
        <v>10</v>
      </c>
      <c r="C16" t="s">
        <v>5</v>
      </c>
      <c r="D16">
        <v>5.7200000000000001E-2</v>
      </c>
    </row>
    <row r="17" spans="1:5" x14ac:dyDescent="0.3">
      <c r="A17" t="s">
        <v>8</v>
      </c>
      <c r="B17" t="s">
        <v>10</v>
      </c>
      <c r="C17" t="s">
        <v>0</v>
      </c>
      <c r="D17">
        <v>6.0600000000000001E-2</v>
      </c>
    </row>
    <row r="18" spans="1:5" x14ac:dyDescent="0.3">
      <c r="A18" t="s">
        <v>8</v>
      </c>
      <c r="B18" t="s">
        <v>10</v>
      </c>
      <c r="C18" t="s">
        <v>2</v>
      </c>
      <c r="D18">
        <v>0.36009999999999998</v>
      </c>
    </row>
    <row r="19" spans="1:5" x14ac:dyDescent="0.3">
      <c r="A19" t="s">
        <v>8</v>
      </c>
      <c r="B19" t="s">
        <v>10</v>
      </c>
      <c r="C19" t="s">
        <v>3</v>
      </c>
      <c r="D19">
        <v>0.2326</v>
      </c>
    </row>
    <row r="20" spans="1:5" x14ac:dyDescent="0.3">
      <c r="A20" t="s">
        <v>8</v>
      </c>
      <c r="B20" t="s">
        <v>10</v>
      </c>
      <c r="C20" t="s">
        <v>4</v>
      </c>
      <c r="D20">
        <v>0.23219999999999999</v>
      </c>
    </row>
    <row r="21" spans="1:5" x14ac:dyDescent="0.3">
      <c r="A21" t="s">
        <v>8</v>
      </c>
      <c r="B21" t="s">
        <v>10</v>
      </c>
      <c r="C21" t="s">
        <v>5</v>
      </c>
      <c r="D21">
        <v>0.38750000000000001</v>
      </c>
    </row>
    <row r="22" spans="1:5" x14ac:dyDescent="0.3">
      <c r="A22" t="s">
        <v>9</v>
      </c>
      <c r="B22" t="s">
        <v>10</v>
      </c>
      <c r="C22" t="s">
        <v>0</v>
      </c>
      <c r="D22">
        <v>0.25850000000000001</v>
      </c>
    </row>
    <row r="23" spans="1:5" x14ac:dyDescent="0.3">
      <c r="A23" t="s">
        <v>9</v>
      </c>
      <c r="B23" t="s">
        <v>10</v>
      </c>
      <c r="C23" t="s">
        <v>2</v>
      </c>
      <c r="D23">
        <v>0.1197</v>
      </c>
    </row>
    <row r="24" spans="1:5" x14ac:dyDescent="0.3">
      <c r="A24" t="s">
        <v>9</v>
      </c>
      <c r="B24" t="s">
        <v>10</v>
      </c>
      <c r="C24" t="s">
        <v>3</v>
      </c>
      <c r="D24">
        <v>0.3972</v>
      </c>
    </row>
    <row r="25" spans="1:5" x14ac:dyDescent="0.3">
      <c r="A25" t="s">
        <v>9</v>
      </c>
      <c r="B25" t="s">
        <v>10</v>
      </c>
      <c r="C25" t="s">
        <v>4</v>
      </c>
      <c r="D25">
        <v>0.15110000000000001</v>
      </c>
    </row>
    <row r="26" spans="1:5" x14ac:dyDescent="0.3">
      <c r="A26" t="s">
        <v>9</v>
      </c>
      <c r="B26" t="s">
        <v>10</v>
      </c>
      <c r="C26" t="s">
        <v>5</v>
      </c>
      <c r="D26">
        <v>0.1152</v>
      </c>
    </row>
    <row r="27" spans="1:5" x14ac:dyDescent="0.3">
      <c r="A27" t="s">
        <v>1</v>
      </c>
      <c r="B27" t="s">
        <v>11</v>
      </c>
      <c r="C27" t="s">
        <v>0</v>
      </c>
      <c r="D27">
        <v>3.0800000000000001E-2</v>
      </c>
      <c r="E27" cm="1">
        <f t="array" ref="E27:E31">((D27:D31-$D$37:$D$41)/D27:D31)*100</f>
        <v>59.415584415584412</v>
      </c>
    </row>
    <row r="28" spans="1:5" x14ac:dyDescent="0.3">
      <c r="A28" t="s">
        <v>1</v>
      </c>
      <c r="B28" t="s">
        <v>11</v>
      </c>
      <c r="C28" t="s">
        <v>2</v>
      </c>
      <c r="D28">
        <v>3.4700000000000002E-2</v>
      </c>
      <c r="E28">
        <v>55.331412103746402</v>
      </c>
    </row>
    <row r="29" spans="1:5" x14ac:dyDescent="0.3">
      <c r="A29" t="s">
        <v>1</v>
      </c>
      <c r="B29" t="s">
        <v>11</v>
      </c>
      <c r="C29" t="s">
        <v>3</v>
      </c>
      <c r="D29">
        <v>2.63E-2</v>
      </c>
      <c r="E29">
        <v>6.8441064638783242</v>
      </c>
    </row>
    <row r="30" spans="1:5" x14ac:dyDescent="0.3">
      <c r="A30" t="s">
        <v>1</v>
      </c>
      <c r="B30" t="s">
        <v>11</v>
      </c>
      <c r="C30" t="s">
        <v>4</v>
      </c>
      <c r="D30">
        <v>2.9100000000000001E-2</v>
      </c>
      <c r="E30">
        <v>43.986254295532653</v>
      </c>
    </row>
    <row r="31" spans="1:5" x14ac:dyDescent="0.3">
      <c r="A31" t="s">
        <v>1</v>
      </c>
      <c r="B31" t="s">
        <v>11</v>
      </c>
      <c r="C31" t="s">
        <v>5</v>
      </c>
      <c r="D31">
        <v>2.5100000000000001E-2</v>
      </c>
      <c r="E31">
        <v>45.816733067729089</v>
      </c>
    </row>
    <row r="32" spans="1:5" x14ac:dyDescent="0.3">
      <c r="A32" t="s">
        <v>6</v>
      </c>
      <c r="B32" t="s">
        <v>11</v>
      </c>
      <c r="C32" t="s">
        <v>0</v>
      </c>
      <c r="D32">
        <v>2.1399999999999999E-2</v>
      </c>
      <c r="E32" cm="1">
        <f t="array" ref="E32:E36">((D32:D36-$D$37:$D$41)/D32:D36)*100</f>
        <v>41.588785046728965</v>
      </c>
    </row>
    <row r="33" spans="1:5" x14ac:dyDescent="0.3">
      <c r="A33" t="s">
        <v>6</v>
      </c>
      <c r="B33" t="s">
        <v>11</v>
      </c>
      <c r="C33" t="s">
        <v>2</v>
      </c>
      <c r="D33">
        <v>1.7500000000000002E-2</v>
      </c>
      <c r="E33">
        <v>11.428571428571438</v>
      </c>
    </row>
    <row r="34" spans="1:5" x14ac:dyDescent="0.3">
      <c r="A34" t="s">
        <v>6</v>
      </c>
      <c r="B34" t="s">
        <v>11</v>
      </c>
      <c r="C34" t="s">
        <v>3</v>
      </c>
      <c r="D34">
        <v>2.81E-2</v>
      </c>
      <c r="E34">
        <v>12.81138790035587</v>
      </c>
    </row>
    <row r="35" spans="1:5" x14ac:dyDescent="0.3">
      <c r="A35" t="s">
        <v>6</v>
      </c>
      <c r="B35" t="s">
        <v>11</v>
      </c>
      <c r="C35" t="s">
        <v>4</v>
      </c>
      <c r="D35">
        <v>3.3099999999999997E-2</v>
      </c>
      <c r="E35">
        <v>50.755287009063444</v>
      </c>
    </row>
    <row r="36" spans="1:5" x14ac:dyDescent="0.3">
      <c r="A36" t="s">
        <v>6</v>
      </c>
      <c r="B36" t="s">
        <v>11</v>
      </c>
      <c r="C36" t="s">
        <v>5</v>
      </c>
      <c r="D36">
        <v>3.0099999999999998E-2</v>
      </c>
      <c r="E36">
        <v>54.817275747508312</v>
      </c>
    </row>
    <row r="37" spans="1:5" x14ac:dyDescent="0.3">
      <c r="A37" t="s">
        <v>7</v>
      </c>
      <c r="B37" t="s">
        <v>11</v>
      </c>
      <c r="C37" t="s">
        <v>0</v>
      </c>
      <c r="D37">
        <v>1.2500000000000001E-2</v>
      </c>
      <c r="E37">
        <f>(D37*100)</f>
        <v>1.25</v>
      </c>
    </row>
    <row r="38" spans="1:5" x14ac:dyDescent="0.3">
      <c r="A38" t="s">
        <v>7</v>
      </c>
      <c r="B38" t="s">
        <v>11</v>
      </c>
      <c r="C38" t="s">
        <v>2</v>
      </c>
      <c r="D38">
        <v>1.55E-2</v>
      </c>
      <c r="E38">
        <f>(D38*100)</f>
        <v>1.55</v>
      </c>
    </row>
    <row r="39" spans="1:5" x14ac:dyDescent="0.3">
      <c r="A39" t="s">
        <v>7</v>
      </c>
      <c r="B39" t="s">
        <v>11</v>
      </c>
      <c r="C39" t="s">
        <v>3</v>
      </c>
      <c r="D39">
        <v>2.4500000000000001E-2</v>
      </c>
      <c r="E39">
        <f>(D39*100)</f>
        <v>2.4500000000000002</v>
      </c>
    </row>
    <row r="40" spans="1:5" x14ac:dyDescent="0.3">
      <c r="A40" t="s">
        <v>7</v>
      </c>
      <c r="B40" t="s">
        <v>11</v>
      </c>
      <c r="C40" t="s">
        <v>4</v>
      </c>
      <c r="D40">
        <v>1.6299999999999999E-2</v>
      </c>
      <c r="E40">
        <f>(D40*100)</f>
        <v>1.63</v>
      </c>
    </row>
    <row r="41" spans="1:5" x14ac:dyDescent="0.3">
      <c r="A41" t="s">
        <v>7</v>
      </c>
      <c r="B41" t="s">
        <v>11</v>
      </c>
      <c r="C41" t="s">
        <v>5</v>
      </c>
      <c r="D41">
        <v>1.3599999999999999E-2</v>
      </c>
      <c r="E41">
        <f>(D41*100)</f>
        <v>1.3599999999999999</v>
      </c>
    </row>
    <row r="42" spans="1:5" x14ac:dyDescent="0.3">
      <c r="A42" t="s">
        <v>8</v>
      </c>
      <c r="B42" t="s">
        <v>11</v>
      </c>
      <c r="C42" t="s">
        <v>0</v>
      </c>
      <c r="D42">
        <v>2.0299999999999999E-2</v>
      </c>
      <c r="E42" cm="1">
        <f t="array" ref="E42:E46">((D42:D46-$D$37:$D$41)/D42:D46)*100</f>
        <v>38.423645320197039</v>
      </c>
    </row>
    <row r="43" spans="1:5" x14ac:dyDescent="0.3">
      <c r="A43" t="s">
        <v>8</v>
      </c>
      <c r="B43" t="s">
        <v>11</v>
      </c>
      <c r="C43" t="s">
        <v>2</v>
      </c>
      <c r="D43">
        <v>2.1100000000000001E-2</v>
      </c>
      <c r="E43">
        <v>26.540284360189574</v>
      </c>
    </row>
    <row r="44" spans="1:5" x14ac:dyDescent="0.3">
      <c r="A44" t="s">
        <v>8</v>
      </c>
      <c r="B44" t="s">
        <v>11</v>
      </c>
      <c r="C44" t="s">
        <v>3</v>
      </c>
      <c r="D44">
        <v>2.5100000000000001E-2</v>
      </c>
      <c r="E44">
        <v>2.3904382470119514</v>
      </c>
    </row>
    <row r="45" spans="1:5" x14ac:dyDescent="0.3">
      <c r="A45" t="s">
        <v>8</v>
      </c>
      <c r="B45" t="s">
        <v>11</v>
      </c>
      <c r="C45" t="s">
        <v>4</v>
      </c>
      <c r="D45">
        <v>3.3399999999999999E-2</v>
      </c>
      <c r="E45">
        <v>51.197604790419163</v>
      </c>
    </row>
    <row r="46" spans="1:5" x14ac:dyDescent="0.3">
      <c r="A46" t="s">
        <v>8</v>
      </c>
      <c r="B46" t="s">
        <v>11</v>
      </c>
      <c r="C46" t="s">
        <v>5</v>
      </c>
      <c r="D46">
        <v>2.3699999999999999E-2</v>
      </c>
      <c r="E46">
        <v>42.616033755274266</v>
      </c>
    </row>
    <row r="47" spans="1:5" x14ac:dyDescent="0.3">
      <c r="A47" t="s">
        <v>9</v>
      </c>
      <c r="B47" t="s">
        <v>11</v>
      </c>
      <c r="C47" t="s">
        <v>0</v>
      </c>
      <c r="D47">
        <v>2.7799999999999998E-2</v>
      </c>
      <c r="E47" cm="1">
        <f t="array" ref="E47:E51">((D47:D51-$D$37:$D$41)/D47:D51)*100</f>
        <v>55.035971223021576</v>
      </c>
    </row>
    <row r="48" spans="1:5" x14ac:dyDescent="0.3">
      <c r="A48" t="s">
        <v>9</v>
      </c>
      <c r="B48" t="s">
        <v>11</v>
      </c>
      <c r="C48" t="s">
        <v>2</v>
      </c>
      <c r="D48">
        <v>3.09E-2</v>
      </c>
      <c r="E48">
        <v>49.838187702265373</v>
      </c>
    </row>
    <row r="49" spans="1:5" x14ac:dyDescent="0.3">
      <c r="A49" t="s">
        <v>9</v>
      </c>
      <c r="B49" t="s">
        <v>11</v>
      </c>
      <c r="C49" t="s">
        <v>3</v>
      </c>
      <c r="D49">
        <v>2.06E-2</v>
      </c>
      <c r="E49">
        <v>-18.932038834951459</v>
      </c>
    </row>
    <row r="50" spans="1:5" x14ac:dyDescent="0.3">
      <c r="A50" t="s">
        <v>9</v>
      </c>
      <c r="B50" t="s">
        <v>11</v>
      </c>
      <c r="C50" t="s">
        <v>4</v>
      </c>
      <c r="D50">
        <v>1.67E-2</v>
      </c>
      <c r="E50">
        <v>2.3952095808383298</v>
      </c>
    </row>
    <row r="51" spans="1:5" x14ac:dyDescent="0.3">
      <c r="A51" t="s">
        <v>9</v>
      </c>
      <c r="B51" t="s">
        <v>11</v>
      </c>
      <c r="C51" t="s">
        <v>5</v>
      </c>
      <c r="D51">
        <v>2.92E-2</v>
      </c>
      <c r="E51">
        <v>53.424657534246577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Everaldo Fontes</dc:creator>
  <cp:lastModifiedBy>Diego Vidal Santos</cp:lastModifiedBy>
  <dcterms:created xsi:type="dcterms:W3CDTF">2025-02-26T20:52:46Z</dcterms:created>
  <dcterms:modified xsi:type="dcterms:W3CDTF">2025-02-28T01:21:30Z</dcterms:modified>
</cp:coreProperties>
</file>